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ick\Downloads\"/>
    </mc:Choice>
  </mc:AlternateContent>
  <xr:revisionPtr revIDLastSave="0" documentId="8_{17D5C234-5FE6-46FE-A68C-054CE53D6DB7}" xr6:coauthVersionLast="47" xr6:coauthVersionMax="47" xr10:uidLastSave="{00000000-0000-0000-0000-000000000000}"/>
  <bookViews>
    <workbookView xWindow="5415" yWindow="5415" windowWidth="28800" windowHeight="15345" xr2:uid="{2FB26668-2F41-4956-8373-6A66F171D0FD}"/>
  </bookViews>
  <sheets>
    <sheet name="Database" sheetId="1" r:id="rId1"/>
    <sheet name="Reclosers" sheetId="2" state="hidden" r:id="rId2"/>
  </sheets>
  <externalReferences>
    <externalReference r:id="rId3"/>
    <externalReference r:id="rId4"/>
  </externalReferences>
  <definedNames>
    <definedName name="Recl_curves">'[1]TCC Tables'!$BT$26:$BT$71</definedName>
    <definedName name="U_TDS">'[1]TCC Tables'!$BU$26:$BU$121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D7" i="1"/>
  <c r="K6" i="1"/>
  <c r="J6" i="1"/>
  <c r="I6" i="1"/>
  <c r="H6" i="1"/>
  <c r="G6" i="1"/>
  <c r="D6" i="1"/>
  <c r="D5" i="1"/>
  <c r="O4" i="1"/>
  <c r="P4" i="1" s="1"/>
  <c r="K4" i="1"/>
  <c r="J4" i="1"/>
  <c r="I4" i="1"/>
  <c r="H4" i="1"/>
  <c r="G4" i="1"/>
  <c r="D4" i="1"/>
  <c r="B9" i="1" s="1"/>
  <c r="O3" i="1"/>
  <c r="P3" i="1" s="1"/>
  <c r="D3" i="1"/>
  <c r="B10" i="1" l="1"/>
</calcChain>
</file>

<file path=xl/sharedStrings.xml><?xml version="1.0" encoding="utf-8"?>
<sst xmlns="http://schemas.openxmlformats.org/spreadsheetml/2006/main" count="739" uniqueCount="102">
  <si>
    <t>FID</t>
  </si>
  <si>
    <t>Pickup</t>
  </si>
  <si>
    <t>Fast Curve</t>
  </si>
  <si>
    <t>Slow Curve</t>
  </si>
  <si>
    <t>Model</t>
  </si>
  <si>
    <t>Curve</t>
  </si>
  <si>
    <t>TD</t>
  </si>
  <si>
    <t>Group</t>
  </si>
  <si>
    <t>Phase</t>
  </si>
  <si>
    <t>CTR</t>
  </si>
  <si>
    <t>Date</t>
  </si>
  <si>
    <t>Ground</t>
  </si>
  <si>
    <t>IP</t>
  </si>
  <si>
    <t>Switch Mode Enabled?</t>
  </si>
  <si>
    <t>The settings were retrieved from the recloser on the date indicated using an automated script. Changes made to the recloser settings after that date will not be reflected.</t>
  </si>
  <si>
    <t>Reclosers either not checked out, or recently checked out may not be reflected in the data.</t>
  </si>
  <si>
    <t>ph</t>
  </si>
  <si>
    <t>phFC</t>
  </si>
  <si>
    <t>phFTD</t>
  </si>
  <si>
    <t>phSC</t>
  </si>
  <si>
    <t>phSTD</t>
  </si>
  <si>
    <t>gPU</t>
  </si>
  <si>
    <t>gFC</t>
  </si>
  <si>
    <t>gFTD</t>
  </si>
  <si>
    <t>gSC</t>
  </si>
  <si>
    <t>gSTD</t>
  </si>
  <si>
    <t>LT08</t>
  </si>
  <si>
    <t>sectionalizercount</t>
  </si>
  <si>
    <t>sectHLTlogic</t>
  </si>
  <si>
    <t>hltdelay</t>
  </si>
  <si>
    <t>eESPB</t>
  </si>
  <si>
    <t>mv05</t>
  </si>
  <si>
    <t>mv06</t>
  </si>
  <si>
    <t>mv18</t>
  </si>
  <si>
    <t>ctpol</t>
  </si>
  <si>
    <t>vyconn</t>
  </si>
  <si>
    <t>vzconn</t>
  </si>
  <si>
    <t>v2ymag</t>
  </si>
  <si>
    <t>v2zmag</t>
  </si>
  <si>
    <t>fidmismatch</t>
  </si>
  <si>
    <t>serialnumber</t>
  </si>
  <si>
    <t>templatedate</t>
  </si>
  <si>
    <t>partnumber</t>
  </si>
  <si>
    <t>firmware</t>
  </si>
  <si>
    <t>bfirmware</t>
  </si>
  <si>
    <t>651R</t>
  </si>
  <si>
    <t>NEG</t>
  </si>
  <si>
    <t>ACB</t>
  </si>
  <si>
    <t>0651R22CXBAX2A1113BN02</t>
  </si>
  <si>
    <t>SEL-651R-2-R405-V2-Z005003-D20150722</t>
  </si>
  <si>
    <t>SLBT-3CF1-R200-V0-Z100100-D20120321</t>
  </si>
  <si>
    <t>U3</t>
  </si>
  <si>
    <t>POS</t>
  </si>
  <si>
    <t>BCA</t>
  </si>
  <si>
    <t>0651R22CXBGXAE2113L701</t>
  </si>
  <si>
    <t>SEL-651R-2-R405-V3-Z005003-D20170818</t>
  </si>
  <si>
    <t>U4</t>
  </si>
  <si>
    <t>20260310 01:14</t>
  </si>
  <si>
    <t>ABC</t>
  </si>
  <si>
    <t>20260310 01:15</t>
  </si>
  <si>
    <t>U5</t>
  </si>
  <si>
    <t>20260310 01:19</t>
  </si>
  <si>
    <t>20260310 01:11</t>
  </si>
  <si>
    <t>BAC</t>
  </si>
  <si>
    <t>NODATE</t>
  </si>
  <si>
    <t>0651R26CXDGAAE2113L601</t>
  </si>
  <si>
    <t>20260310 01:09</t>
  </si>
  <si>
    <t>20260310 01:42</t>
  </si>
  <si>
    <t>CBA</t>
  </si>
  <si>
    <t>0/0</t>
  </si>
  <si>
    <t>SEL-651R-2-R405-V6-Z005003-D20220510</t>
  </si>
  <si>
    <t>SLBT-3CF1-R201-V0-Z100100-D20220510</t>
  </si>
  <si>
    <t>OFF</t>
  </si>
  <si>
    <t>0651R22CXBGXAE2113L601</t>
  </si>
  <si>
    <t>20260310 01:23</t>
  </si>
  <si>
    <t>CAB</t>
  </si>
  <si>
    <t>SEL-651R-2-R500-V0-Z100100-D20230404</t>
  </si>
  <si>
    <t>SLBT-3ARM-R100-V0-Z001001-D20230404</t>
  </si>
  <si>
    <t>351R</t>
  </si>
  <si>
    <t>0351R21281X13X1</t>
  </si>
  <si>
    <t>SEL-351R-2-R301-V0-Z003003-D20021119</t>
  </si>
  <si>
    <t>SELboot-35R-R101</t>
  </si>
  <si>
    <t>20260310 01:37</t>
  </si>
  <si>
    <t>20260310 01:06</t>
  </si>
  <si>
    <t>20260310 01:17</t>
  </si>
  <si>
    <t>20260310 01:08</t>
  </si>
  <si>
    <t>20260310 01:18</t>
  </si>
  <si>
    <t>U2</t>
  </si>
  <si>
    <t>20260310 01:25</t>
  </si>
  <si>
    <t>20260310 01:13</t>
  </si>
  <si>
    <t>20260310 01:12</t>
  </si>
  <si>
    <t>20260310 01:39</t>
  </si>
  <si>
    <t>20260310 01:16</t>
  </si>
  <si>
    <t>20260310 01:03</t>
  </si>
  <si>
    <t>20260310 01:00</t>
  </si>
  <si>
    <t>SEL-651R-2-R413-V0-Z013003-D20230130</t>
  </si>
  <si>
    <t>SLBT-3CF1-R301-V0-Z100100-D20220510</t>
  </si>
  <si>
    <t>20260310 01:22</t>
  </si>
  <si>
    <t>20260310 01:43</t>
  </si>
  <si>
    <t>20260310 01:33</t>
  </si>
  <si>
    <t>SLBT-3ARM-R101-V0-Z001001-D20240320</t>
  </si>
  <si>
    <t>SLBT-3CF1-R300-V0-Z100100-D20150729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</si>
</sst>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4" borderId="3" xfId="0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0" fontId="0" fillId="5" borderId="8" xfId="0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4" fillId="5" borderId="11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0" fillId="5" borderId="12" xfId="0" applyFill="1" applyBorder="1" applyAlignment="1">
      <alignment horizontal="center"/>
    </xf>
    <xf numFmtId="0" fontId="4" fillId="5" borderId="19" xfId="0" applyFont="1" applyFill="1" applyBorder="1" applyAlignment="1">
      <alignment horizontal="right"/>
    </xf>
    <xf numFmtId="0" fontId="4" fillId="5" borderId="20" xfId="0" applyFont="1" applyFill="1" applyBorder="1" applyAlignment="1">
      <alignment horizontal="right"/>
    </xf>
    <xf numFmtId="0" fontId="0" fillId="5" borderId="20" xfId="0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0" fillId="5" borderId="2" xfId="0" applyFill="1" applyBorder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8" fillId="2" borderId="0" xfId="0" applyFont="1" applyFill="1" applyAlignment="1">
      <alignment horizontal="left" wrapText="1"/>
    </xf>
    <xf numFmtId="0" fontId="5" fillId="3" borderId="13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342900</xdr:colOff>
          <xdr:row>3</xdr:row>
          <xdr:rowOff>19050</xdr:rowOff>
        </xdr:from>
        <xdr:to>
          <xdr:col>17</xdr:col>
          <xdr:colOff>361950</xdr:colOff>
          <xdr:row>5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Update DB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charf06\DPAC\Users\mspicke\Downloads\Protection%20Analysis%20Tool_DRAFT_REV2021050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charf06\DPAC\21%20Recloser%20Settings%20Database\Recloser%20Database\DB%20Files\SupportFiles\RecloserDatabase_DRAFT.xlsm" TargetMode="External"/><Relationship Id="rId1" Type="http://schemas.openxmlformats.org/officeDocument/2006/relationships/externalLinkPath" Target="file:///\\nascharf06\DPAC\21%20Recloser%20Settings%20Database\Recloser%20Database\DB%20Files\SupportFiles\RecloserDatabase_DRAF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VA"/>
      <sheetName val="Circuit"/>
      <sheetName val="REQUEST FORM (SEL)"/>
      <sheetName val="REQUEST FORM (SEL) (AUX)"/>
      <sheetName val="REQUEST FORM (SEL) (2)"/>
      <sheetName val="REQUEST FORM (SEL) (3)"/>
      <sheetName val="REQUEST FORM (SEL) (4)"/>
      <sheetName val="REQUEST FORM (EM)"/>
      <sheetName val="Z change"/>
      <sheetName val="TripSaver Charging"/>
      <sheetName val="Portable 51 MAX"/>
      <sheetName val="LT vs CB GRP 1"/>
      <sheetName val="LT vs CB GRP 2"/>
      <sheetName val="LT vs AUX GRP 1"/>
      <sheetName val="LT vs AUX GRP 2"/>
      <sheetName val="HT vs CB GRP 1"/>
      <sheetName val="HT vs CB GRP 2"/>
      <sheetName val="51TN vs CB GRP 1"/>
      <sheetName val="51TN vs CB GRP 2"/>
      <sheetName val="Arc Flash @ Min Backbone"/>
      <sheetName val="Arc Flash @ Max Backbone"/>
      <sheetName val="Alternate Bypass Settings"/>
      <sheetName val="Stations"/>
      <sheetName val="Station Impedance"/>
      <sheetName val="Tables"/>
      <sheetName val="Cond. Format"/>
      <sheetName val="Rev. Log"/>
      <sheetName val="TCC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6">
          <cell r="BT26">
            <v>101</v>
          </cell>
          <cell r="BU26">
            <v>0.5</v>
          </cell>
        </row>
        <row r="27">
          <cell r="BT27">
            <v>102</v>
          </cell>
          <cell r="BU27">
            <v>0.6</v>
          </cell>
        </row>
        <row r="28">
          <cell r="BT28">
            <v>103</v>
          </cell>
          <cell r="BU28">
            <v>0.7</v>
          </cell>
        </row>
        <row r="29">
          <cell r="BT29">
            <v>104</v>
          </cell>
          <cell r="BU29">
            <v>0.79999999999999993</v>
          </cell>
        </row>
        <row r="30">
          <cell r="BT30">
            <v>105</v>
          </cell>
          <cell r="BU30">
            <v>0.89999999999999991</v>
          </cell>
        </row>
        <row r="31">
          <cell r="BT31">
            <v>106</v>
          </cell>
          <cell r="BU31">
            <v>0.99999999999999989</v>
          </cell>
        </row>
        <row r="32">
          <cell r="BT32">
            <v>107</v>
          </cell>
          <cell r="BU32">
            <v>1.0999999999999999</v>
          </cell>
        </row>
        <row r="33">
          <cell r="BT33">
            <v>111</v>
          </cell>
          <cell r="BU33">
            <v>1.2</v>
          </cell>
        </row>
        <row r="34">
          <cell r="BT34">
            <v>112</v>
          </cell>
          <cell r="BU34">
            <v>1.3</v>
          </cell>
        </row>
        <row r="35">
          <cell r="BT35">
            <v>113</v>
          </cell>
          <cell r="BU35">
            <v>1.4000000000000001</v>
          </cell>
        </row>
        <row r="36">
          <cell r="BT36">
            <v>114</v>
          </cell>
          <cell r="BU36">
            <v>1.5000000000000002</v>
          </cell>
        </row>
        <row r="37">
          <cell r="BT37">
            <v>115</v>
          </cell>
          <cell r="BU37">
            <v>1.6000000000000003</v>
          </cell>
        </row>
        <row r="38">
          <cell r="BT38">
            <v>116</v>
          </cell>
          <cell r="BU38">
            <v>1.7000000000000004</v>
          </cell>
        </row>
        <row r="39">
          <cell r="BT39">
            <v>117</v>
          </cell>
          <cell r="BU39">
            <v>1.8000000000000005</v>
          </cell>
        </row>
        <row r="40">
          <cell r="BT40">
            <v>118</v>
          </cell>
          <cell r="BU40">
            <v>1.9000000000000006</v>
          </cell>
        </row>
        <row r="41">
          <cell r="BT41">
            <v>119</v>
          </cell>
          <cell r="BU41">
            <v>2.0000000000000004</v>
          </cell>
        </row>
        <row r="42">
          <cell r="BT42">
            <v>120</v>
          </cell>
          <cell r="BU42">
            <v>2.1000000000000005</v>
          </cell>
        </row>
        <row r="43">
          <cell r="BT43">
            <v>121</v>
          </cell>
          <cell r="BU43">
            <v>2.2000000000000006</v>
          </cell>
        </row>
        <row r="44">
          <cell r="BT44">
            <v>122</v>
          </cell>
          <cell r="BU44">
            <v>2.3000000000000007</v>
          </cell>
        </row>
        <row r="45">
          <cell r="BT45">
            <v>131</v>
          </cell>
          <cell r="BU45">
            <v>2.4000000000000008</v>
          </cell>
        </row>
        <row r="46">
          <cell r="BT46">
            <v>132</v>
          </cell>
          <cell r="BU46">
            <v>2.5000000000000009</v>
          </cell>
        </row>
        <row r="47">
          <cell r="BT47">
            <v>133</v>
          </cell>
          <cell r="BU47">
            <v>2.600000000000001</v>
          </cell>
        </row>
        <row r="48">
          <cell r="BT48">
            <v>134</v>
          </cell>
          <cell r="BU48">
            <v>2.7000000000000011</v>
          </cell>
        </row>
        <row r="49">
          <cell r="BT49">
            <v>135</v>
          </cell>
          <cell r="BU49">
            <v>2.8000000000000012</v>
          </cell>
        </row>
        <row r="50">
          <cell r="BT50">
            <v>136</v>
          </cell>
          <cell r="BU50">
            <v>2.9000000000000012</v>
          </cell>
        </row>
        <row r="51">
          <cell r="BT51">
            <v>137</v>
          </cell>
          <cell r="BU51">
            <v>3.0000000000000013</v>
          </cell>
        </row>
        <row r="52">
          <cell r="BT52">
            <v>138</v>
          </cell>
          <cell r="BU52">
            <v>3.1000000000000014</v>
          </cell>
        </row>
        <row r="53">
          <cell r="BT53">
            <v>139</v>
          </cell>
          <cell r="BU53">
            <v>3.2000000000000015</v>
          </cell>
        </row>
        <row r="54">
          <cell r="BT54">
            <v>140</v>
          </cell>
          <cell r="BU54">
            <v>3.3000000000000016</v>
          </cell>
        </row>
        <row r="55">
          <cell r="BT55">
            <v>141</v>
          </cell>
          <cell r="BU55">
            <v>3.4000000000000017</v>
          </cell>
        </row>
        <row r="56">
          <cell r="BT56">
            <v>142</v>
          </cell>
          <cell r="BU56">
            <v>3.5000000000000018</v>
          </cell>
        </row>
        <row r="57">
          <cell r="BT57">
            <v>151</v>
          </cell>
          <cell r="BU57">
            <v>3.6000000000000019</v>
          </cell>
        </row>
        <row r="58">
          <cell r="BT58">
            <v>152</v>
          </cell>
          <cell r="BU58">
            <v>3.700000000000002</v>
          </cell>
        </row>
        <row r="59">
          <cell r="BT59">
            <v>161</v>
          </cell>
          <cell r="BU59">
            <v>3.800000000000002</v>
          </cell>
        </row>
        <row r="60">
          <cell r="BT60">
            <v>162</v>
          </cell>
          <cell r="BU60">
            <v>3.9000000000000021</v>
          </cell>
        </row>
        <row r="61">
          <cell r="BT61">
            <v>163</v>
          </cell>
          <cell r="BU61">
            <v>4.0000000000000018</v>
          </cell>
        </row>
        <row r="62">
          <cell r="BT62">
            <v>164</v>
          </cell>
          <cell r="BU62">
            <v>4.1000000000000014</v>
          </cell>
        </row>
        <row r="63">
          <cell r="BT63">
            <v>165</v>
          </cell>
          <cell r="BU63">
            <v>4.2000000000000011</v>
          </cell>
        </row>
        <row r="64">
          <cell r="BT64">
            <v>200</v>
          </cell>
          <cell r="BU64">
            <v>4.3000000000000007</v>
          </cell>
        </row>
        <row r="65">
          <cell r="BT65">
            <v>201</v>
          </cell>
          <cell r="BU65">
            <v>4.4000000000000004</v>
          </cell>
        </row>
        <row r="66">
          <cell r="BT66">
            <v>202</v>
          </cell>
          <cell r="BU66">
            <v>4.5</v>
          </cell>
        </row>
        <row r="67">
          <cell r="BT67" t="str">
            <v>U1</v>
          </cell>
          <cell r="BU67">
            <v>4.5999999999999996</v>
          </cell>
        </row>
        <row r="68">
          <cell r="BT68" t="str">
            <v>U2</v>
          </cell>
          <cell r="BU68">
            <v>4.6999999999999993</v>
          </cell>
        </row>
        <row r="69">
          <cell r="BT69" t="str">
            <v>U3</v>
          </cell>
          <cell r="BU69">
            <v>4.7999999999999989</v>
          </cell>
        </row>
        <row r="70">
          <cell r="BT70" t="str">
            <v>U4</v>
          </cell>
          <cell r="BU70">
            <v>4.8999999999999986</v>
          </cell>
        </row>
        <row r="71">
          <cell r="BT71" t="str">
            <v>U5</v>
          </cell>
          <cell r="BU71">
            <v>4.9999999999999982</v>
          </cell>
        </row>
        <row r="72">
          <cell r="BU72">
            <v>5.0999999999999979</v>
          </cell>
        </row>
        <row r="73">
          <cell r="BU73">
            <v>5.1999999999999975</v>
          </cell>
        </row>
        <row r="74">
          <cell r="BU74">
            <v>5.2999999999999972</v>
          </cell>
        </row>
        <row r="75">
          <cell r="BU75">
            <v>5.3999999999999968</v>
          </cell>
        </row>
        <row r="76">
          <cell r="BU76">
            <v>5.4999999999999964</v>
          </cell>
        </row>
        <row r="77">
          <cell r="BU77">
            <v>5.5999999999999961</v>
          </cell>
        </row>
        <row r="78">
          <cell r="BU78">
            <v>5.6999999999999957</v>
          </cell>
        </row>
        <row r="79">
          <cell r="BU79">
            <v>5.7999999999999954</v>
          </cell>
        </row>
        <row r="80">
          <cell r="BU80">
            <v>5.899999999999995</v>
          </cell>
        </row>
        <row r="81">
          <cell r="BU81">
            <v>5.9999999999999947</v>
          </cell>
        </row>
        <row r="82">
          <cell r="BU82">
            <v>6.0999999999999943</v>
          </cell>
        </row>
        <row r="83">
          <cell r="BU83">
            <v>6.199999999999994</v>
          </cell>
        </row>
        <row r="84">
          <cell r="BU84">
            <v>6.2999999999999936</v>
          </cell>
        </row>
        <row r="85">
          <cell r="BU85">
            <v>6.3999999999999932</v>
          </cell>
        </row>
        <row r="86">
          <cell r="BU86">
            <v>6.4999999999999929</v>
          </cell>
        </row>
        <row r="87">
          <cell r="BU87">
            <v>6.5999999999999925</v>
          </cell>
        </row>
        <row r="88">
          <cell r="BU88">
            <v>6.6999999999999922</v>
          </cell>
        </row>
        <row r="89">
          <cell r="BU89">
            <v>6.7999999999999918</v>
          </cell>
        </row>
        <row r="90">
          <cell r="BU90">
            <v>6.8999999999999915</v>
          </cell>
        </row>
        <row r="91">
          <cell r="BU91">
            <v>6.9999999999999911</v>
          </cell>
        </row>
        <row r="92">
          <cell r="BU92">
            <v>7.0999999999999908</v>
          </cell>
        </row>
        <row r="93">
          <cell r="BU93">
            <v>7.1999999999999904</v>
          </cell>
        </row>
        <row r="94">
          <cell r="BU94">
            <v>7.2999999999999901</v>
          </cell>
        </row>
        <row r="95">
          <cell r="BU95">
            <v>7.3999999999999897</v>
          </cell>
        </row>
        <row r="96">
          <cell r="BU96">
            <v>7.4999999999999893</v>
          </cell>
        </row>
        <row r="97">
          <cell r="BU97">
            <v>7.599999999999989</v>
          </cell>
        </row>
        <row r="98">
          <cell r="BU98">
            <v>7.6999999999999886</v>
          </cell>
        </row>
        <row r="99">
          <cell r="BU99">
            <v>7.7999999999999883</v>
          </cell>
        </row>
        <row r="100">
          <cell r="BU100">
            <v>7.8999999999999879</v>
          </cell>
        </row>
        <row r="101">
          <cell r="BU101">
            <v>7.9999999999999876</v>
          </cell>
        </row>
        <row r="102">
          <cell r="BU102">
            <v>8.0999999999999872</v>
          </cell>
        </row>
        <row r="103">
          <cell r="BU103">
            <v>8.1999999999999869</v>
          </cell>
        </row>
        <row r="104">
          <cell r="BU104">
            <v>8.2999999999999865</v>
          </cell>
        </row>
        <row r="105">
          <cell r="BU105">
            <v>8.3999999999999861</v>
          </cell>
        </row>
        <row r="106">
          <cell r="BU106">
            <v>8.4999999999999858</v>
          </cell>
        </row>
        <row r="107">
          <cell r="BU107">
            <v>8.5999999999999854</v>
          </cell>
        </row>
        <row r="108">
          <cell r="BU108">
            <v>8.6999999999999851</v>
          </cell>
        </row>
        <row r="109">
          <cell r="BU109">
            <v>8.7999999999999847</v>
          </cell>
        </row>
        <row r="110">
          <cell r="BU110">
            <v>8.8999999999999844</v>
          </cell>
        </row>
        <row r="111">
          <cell r="BU111">
            <v>8.999999999999984</v>
          </cell>
        </row>
        <row r="112">
          <cell r="BU112">
            <v>9.0999999999999837</v>
          </cell>
        </row>
        <row r="113">
          <cell r="BU113">
            <v>9.1999999999999833</v>
          </cell>
        </row>
        <row r="114">
          <cell r="BU114">
            <v>9.2999999999999829</v>
          </cell>
        </row>
        <row r="115">
          <cell r="BU115">
            <v>9.3999999999999826</v>
          </cell>
        </row>
        <row r="116">
          <cell r="BU116">
            <v>9.4999999999999822</v>
          </cell>
        </row>
        <row r="117">
          <cell r="BU117">
            <v>9.5999999999999819</v>
          </cell>
        </row>
        <row r="118">
          <cell r="BU118">
            <v>9.6999999999999815</v>
          </cell>
        </row>
        <row r="119">
          <cell r="BU119">
            <v>9.7999999999999812</v>
          </cell>
        </row>
        <row r="120">
          <cell r="BU120">
            <v>9.8999999999999808</v>
          </cell>
        </row>
        <row r="121">
          <cell r="BU121">
            <v>9.9999999999999805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Reclosers"/>
      <sheetName val="RecloserDatabase_DRAFT"/>
    </sheetNames>
    <definedNames>
      <definedName name="ImportSetpoints24"/>
    </defined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C61775-63FC-4A76-BA6E-B669BA58BEC5}" name="Setpoints24" displayName="Setpoints24" ref="A1:AH73" totalsRowShown="0" headerRowDxfId="40" dataDxfId="39">
  <autoFilter ref="A1:AH73" xr:uid="{AB75DA20-6F8E-4E63-8C26-250FAAE8C91D}"/>
  <sortState xmlns:xlrd2="http://schemas.microsoft.com/office/spreadsheetml/2017/richdata2" ref="A2:AH1">
    <sortCondition ref="A1"/>
  </sortState>
  <tableColumns count="34">
    <tableColumn id="1" xr3:uid="{C9D22293-997B-4FBB-816B-464FF7D4DFD4}" name="FID" dataDxfId="38"/>
    <tableColumn id="2" xr3:uid="{209628F8-09D5-4D27-91D6-5927C734E59A}" name="Model" dataDxfId="37"/>
    <tableColumn id="4" xr3:uid="{6397B637-77C1-46A5-BC0E-6F21C07C9985}" name="Group" dataDxfId="36"/>
    <tableColumn id="5" xr3:uid="{7505AF3D-D49C-41D3-BCED-36AD1937CA98}" name="CTR" dataDxfId="35"/>
    <tableColumn id="6" xr3:uid="{E395EE4E-0CC4-40AB-9FCB-A8693120B0CA}" name="ph" dataDxfId="34"/>
    <tableColumn id="7" xr3:uid="{506CDB6B-C0C7-4DEF-BE47-7F76FF4BFCF7}" name="phFC" dataDxfId="33"/>
    <tableColumn id="8" xr3:uid="{C16DCBD5-30E5-474F-B501-CC6700E4370F}" name="phFTD" dataDxfId="32"/>
    <tableColumn id="9" xr3:uid="{AC636800-B5F4-4AC9-9E85-9521B1CB870F}" name="phSC" dataDxfId="31"/>
    <tableColumn id="10" xr3:uid="{E27CC528-8EF6-43BE-8772-0918ED3E8DBE}" name="phSTD" dataDxfId="30"/>
    <tableColumn id="11" xr3:uid="{1AC76304-ACD5-46F8-A872-BCDBBAD2A98D}" name="gPU" dataDxfId="29"/>
    <tableColumn id="12" xr3:uid="{BD1B5DAB-01E9-482D-A484-A06530E36F87}" name="gFC" dataDxfId="28"/>
    <tableColumn id="13" xr3:uid="{7560EF3F-964A-4E77-9336-73F2157F1062}" name="gFTD" dataDxfId="27"/>
    <tableColumn id="14" xr3:uid="{8A319E71-F905-4C96-B53B-E7591A4DDA50}" name="gSC" dataDxfId="26"/>
    <tableColumn id="15" xr3:uid="{E86D5DDA-32E7-4CEC-AE46-4AA358D97638}" name="gSTD" dataDxfId="25"/>
    <tableColumn id="16" xr3:uid="{2EC670A8-F4AC-4357-860C-810703E31297}" name="Date" dataDxfId="24"/>
    <tableColumn id="17" xr3:uid="{AE7B35AE-38B7-4E8E-80BC-E612FF65C068}" name="LT08" dataDxfId="23"/>
    <tableColumn id="18" xr3:uid="{339A40DA-67B8-49FD-BAB0-11D32BCA6EA8}" name="sectionalizercount" dataDxfId="22"/>
    <tableColumn id="3" xr3:uid="{B92EBB74-1AD2-423C-9F43-D1804C744F65}" name="sectHLTlogic" dataDxfId="21"/>
    <tableColumn id="19" xr3:uid="{F3B6442B-886F-4E33-9F27-8AB9F12D8447}" name="hltdelay" dataDxfId="20"/>
    <tableColumn id="20" xr3:uid="{D85C215E-2BD7-4A64-BEBC-6C35C97A6DD0}" name="eESPB" dataDxfId="19"/>
    <tableColumn id="21" xr3:uid="{805A1618-91A5-489E-AAD9-A18DF064FBD0}" name="mv05" dataDxfId="18"/>
    <tableColumn id="22" xr3:uid="{693F9E29-D9BA-4CEC-A522-64F504FAE780}" name="mv06" dataDxfId="17"/>
    <tableColumn id="23" xr3:uid="{84E358B5-B00C-4FD5-AA7C-197E97821C3B}" name="mv18" dataDxfId="16"/>
    <tableColumn id="24" xr3:uid="{947EFC96-88C7-4798-8659-000D430EBED7}" name="ctpol" dataDxfId="15"/>
    <tableColumn id="25" xr3:uid="{DA9709B9-FE60-48BC-AE7F-3302B751F314}" name="vyconn" dataDxfId="14"/>
    <tableColumn id="26" xr3:uid="{0542C8EC-518F-4CA1-85BE-86858BBC5F4A}" name="vzconn" dataDxfId="13"/>
    <tableColumn id="27" xr3:uid="{0E8DF5DC-EE14-4055-AD6B-65DA3D1EA526}" name="v2ymag" dataDxfId="12"/>
    <tableColumn id="28" xr3:uid="{8CD46FD5-4A71-466B-902B-E9DC8C7C461F}" name="v2zmag" dataDxfId="11"/>
    <tableColumn id="29" xr3:uid="{607BF63D-B7E3-4239-8207-8E9C0ABCC41B}" name="fidmismatch" dataDxfId="10"/>
    <tableColumn id="30" xr3:uid="{881B8599-985E-4729-9092-BF1D488D60E8}" name="serialnumber" dataDxfId="9"/>
    <tableColumn id="31" xr3:uid="{32B27648-599D-4C1E-94B2-311060EC4306}" name="templatedate" dataDxfId="8"/>
    <tableColumn id="32" xr3:uid="{679C7AB2-F957-4C8E-B3EC-EEA3302DC7B2}" name="partnumber" dataDxfId="7"/>
    <tableColumn id="33" xr3:uid="{9B1AEE42-4993-4AD8-8CD7-927BFF39A682}" name="firmware" dataDxfId="6"/>
    <tableColumn id="34" xr3:uid="{42AED136-0913-43C5-AA0C-CD0D3240AD4F}" name="bfirmware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6F4B-3FDE-435C-9CA5-43C44D77D6D5}">
  <sheetPr codeName="Sheet1"/>
  <dimension ref="B1:R15"/>
  <sheetViews>
    <sheetView showGridLines="0" showRowColHeaders="0" tabSelected="1" zoomScaleNormal="100" workbookViewId="0">
      <selection activeCell="D2" sqref="D2"/>
    </sheetView>
  </sheetViews>
  <sheetFormatPr defaultColWidth="9.140625" defaultRowHeight="15" x14ac:dyDescent="0.25"/>
  <cols>
    <col min="1" max="1" width="7.42578125" style="1" customWidth="1"/>
    <col min="2" max="2" width="9.140625" style="1"/>
    <col min="3" max="3" width="0.7109375" style="1" customWidth="1"/>
    <col min="4" max="4" width="14.42578125" style="2" customWidth="1"/>
    <col min="5" max="5" width="4.140625" style="1" customWidth="1"/>
    <col min="6" max="6" width="8.140625" style="1" customWidth="1"/>
    <col min="7" max="11" width="9.140625" style="1"/>
    <col min="12" max="12" width="5.140625" style="1" customWidth="1"/>
    <col min="13" max="14" width="9.140625" style="1"/>
    <col min="15" max="17" width="0" style="1" hidden="1" customWidth="1"/>
    <col min="18" max="16384" width="9.140625" style="1"/>
  </cols>
  <sheetData>
    <row r="1" spans="2:18" ht="15.75" customHeight="1" thickBot="1" x14ac:dyDescent="0.3">
      <c r="M1" s="3"/>
      <c r="N1" s="3"/>
      <c r="O1" s="3"/>
      <c r="P1" s="3"/>
      <c r="Q1" s="3"/>
      <c r="R1" s="3"/>
    </row>
    <row r="2" spans="2:18" ht="21.75" customHeight="1" thickBot="1" x14ac:dyDescent="0.35">
      <c r="B2" s="4" t="s">
        <v>0</v>
      </c>
      <c r="C2" s="5"/>
      <c r="D2" s="6"/>
      <c r="G2" s="35" t="s">
        <v>1</v>
      </c>
      <c r="H2" s="37" t="s">
        <v>2</v>
      </c>
      <c r="I2" s="38"/>
      <c r="J2" s="37" t="s">
        <v>3</v>
      </c>
      <c r="K2" s="38"/>
      <c r="M2" s="3"/>
      <c r="N2" s="3"/>
      <c r="O2" s="3"/>
      <c r="P2" s="3"/>
      <c r="Q2" s="3"/>
      <c r="R2" s="3"/>
    </row>
    <row r="3" spans="2:18" ht="16.5" thickBot="1" x14ac:dyDescent="0.3">
      <c r="B3" s="7" t="s">
        <v>4</v>
      </c>
      <c r="C3" s="8"/>
      <c r="D3" s="9" t="str">
        <f>IF(D2="","",_xlfn.XLOOKUP(D2,Setpoints24[FID],Setpoints24[Model],"No Data"))</f>
        <v/>
      </c>
      <c r="G3" s="36"/>
      <c r="H3" s="10" t="s">
        <v>5</v>
      </c>
      <c r="I3" s="10" t="s">
        <v>6</v>
      </c>
      <c r="J3" s="10" t="s">
        <v>5</v>
      </c>
      <c r="K3" s="10" t="s">
        <v>6</v>
      </c>
      <c r="N3" s="11"/>
      <c r="O3" s="1" t="str">
        <f>IF(D2="","",_xlfn.XLOOKUP(D2,Setpoints24[FID],Setpoints24[eESPB],""))</f>
        <v/>
      </c>
      <c r="P3" s="1" t="str">
        <f>IF(O3="","","Phase Trip")</f>
        <v/>
      </c>
    </row>
    <row r="4" spans="2:18" x14ac:dyDescent="0.25">
      <c r="B4" s="12" t="s">
        <v>7</v>
      </c>
      <c r="C4" s="13"/>
      <c r="D4" s="14" t="str">
        <f>IF(D2="","",_xlfn.XLOOKUP(D2,Setpoints24[FID],Setpoints24[Group],""))</f>
        <v/>
      </c>
      <c r="F4" s="27" t="s">
        <v>8</v>
      </c>
      <c r="G4" s="39" t="str">
        <f>IFERROR(IF(D2="","",_xlfn.XLOOKUP(D2,Setpoints24[FID],Setpoints24[ph],"")*_xlfn.XLOOKUP(D2,Setpoints24[FID],Setpoints24[CTR],"")),"")</f>
        <v/>
      </c>
      <c r="H4" s="40" t="str">
        <f>IF(D2="","",_xlfn.XLOOKUP(D2,Setpoints24[FID],Setpoints24[phFC],""))</f>
        <v/>
      </c>
      <c r="I4" s="41" t="str">
        <f>IF(D2="","",_xlfn.XLOOKUP(D2,Setpoints24[FID],Setpoints24[phFTD],""))</f>
        <v/>
      </c>
      <c r="J4" s="40" t="str">
        <f>IF(D2="","",_xlfn.XLOOKUP(D2,Setpoints24[FID],Setpoints24[phSC],""))</f>
        <v/>
      </c>
      <c r="K4" s="41" t="str">
        <f>IF(D2="","",_xlfn.XLOOKUP(D2,Setpoints24[FID],Setpoints24[phSTD],""))</f>
        <v/>
      </c>
      <c r="N4" s="11"/>
      <c r="O4" s="1" t="str">
        <f>IF(D2="","",_xlfn.XLOOKUP(D2,Setpoints24[FID],Setpoints24[mv18],""))</f>
        <v/>
      </c>
      <c r="P4" s="1" t="str">
        <f>IF(O4="","","Phase Lockout")</f>
        <v/>
      </c>
    </row>
    <row r="5" spans="2:18" ht="15.75" thickBot="1" x14ac:dyDescent="0.3">
      <c r="B5" s="12" t="s">
        <v>9</v>
      </c>
      <c r="C5" s="13"/>
      <c r="D5" s="14" t="str">
        <f>IF(D2="","",_xlfn.XLOOKUP(D2,Setpoints24[FID],Setpoints24[CTR],""))</f>
        <v/>
      </c>
      <c r="F5" s="28"/>
      <c r="G5" s="30"/>
      <c r="H5" s="32"/>
      <c r="I5" s="34"/>
      <c r="J5" s="32"/>
      <c r="K5" s="34"/>
    </row>
    <row r="6" spans="2:18" ht="15.75" thickBot="1" x14ac:dyDescent="0.3">
      <c r="B6" s="15" t="s">
        <v>10</v>
      </c>
      <c r="C6" s="16"/>
      <c r="D6" s="17" t="str">
        <f>IF(D2="","",LEFT(_xlfn.XLOOKUP(D2,Setpoints24[FID],Setpoints24[Date],""),8))</f>
        <v/>
      </c>
      <c r="F6" s="27" t="s">
        <v>11</v>
      </c>
      <c r="G6" s="29" t="str">
        <f>IFERROR(IF(D2="","",_xlfn.XLOOKUP(D2,Setpoints24[FID],Setpoints24[gPU],"")*_xlfn.XLOOKUP(D2,Setpoints24[FID],Setpoints24[CTR],"")),"")</f>
        <v/>
      </c>
      <c r="H6" s="31" t="str">
        <f>IF(D2="","",_xlfn.XLOOKUP(D2,Setpoints24[FID],Setpoints24[gFC],""))</f>
        <v/>
      </c>
      <c r="I6" s="33" t="str">
        <f>IF(D2="","",_xlfn.XLOOKUP(D2,Setpoints24[FID],Setpoints24[gFTD],""))</f>
        <v/>
      </c>
      <c r="J6" s="31" t="str">
        <f>IF(D2="","",_xlfn.XLOOKUP(D2,Setpoints24[FID],Setpoints24[gSC],""))</f>
        <v/>
      </c>
      <c r="K6" s="33" t="str">
        <f>IF(D2="","",_xlfn.XLOOKUP(D2,Setpoints24[FID],Setpoints24[gSTD],""))</f>
        <v/>
      </c>
    </row>
    <row r="7" spans="2:18" ht="15.75" thickBot="1" x14ac:dyDescent="0.3">
      <c r="B7" s="18" t="s">
        <v>12</v>
      </c>
      <c r="C7" s="18"/>
      <c r="D7" s="19" t="str">
        <f>IFERROR(IF(D2="","",VLOOKUP($D$2,Reclosers!$A$1:$O$1,3,FALSE)),"")</f>
        <v/>
      </c>
      <c r="F7" s="28"/>
      <c r="G7" s="30"/>
      <c r="H7" s="32"/>
      <c r="I7" s="34"/>
      <c r="J7" s="32"/>
      <c r="K7" s="34"/>
    </row>
    <row r="8" spans="2:18" ht="8.25" customHeight="1" thickBot="1" x14ac:dyDescent="0.3"/>
    <row r="9" spans="2:18" ht="15.75" thickBot="1" x14ac:dyDescent="0.3">
      <c r="B9" s="23" t="str">
        <f>IF(D4="","",IF(OR(D3="351R",D4=1,D4=2,D4=3,D4=4,D4=6),"Reclosing Mode of Operation",IF(D4=5,"Bypass in Cyme (Unless DG Recloser)","Bypass in Cyme")))</f>
        <v/>
      </c>
      <c r="C9" s="24"/>
      <c r="D9" s="24"/>
      <c r="E9" s="24"/>
      <c r="F9" s="25"/>
      <c r="H9" s="23" t="s">
        <v>13</v>
      </c>
      <c r="I9" s="24"/>
      <c r="J9" s="24"/>
      <c r="K9" s="20" t="str">
        <f>IF(D2="","",
IF(_xlfn.XLOOKUP(D2,Setpoints24[FID],Setpoints24[LT08],"")=1,"Yes",
IF(_xlfn.XLOOKUP(D2,Setpoints24[FID],Setpoints24[LT08],"")=0,"No",
"Unknown")))</f>
        <v/>
      </c>
    </row>
    <row r="10" spans="2:18" ht="15.75" thickBot="1" x14ac:dyDescent="0.3">
      <c r="B10" s="23" t="str">
        <f>IF(OR(D4=5,D4=7,D4=8,D3&lt;&gt;"651R"),"",_xlfn.TEXTJOIN(" ",TRUE,O3,P3,"/",O4,P4))</f>
        <v/>
      </c>
      <c r="C10" s="24"/>
      <c r="D10" s="24"/>
      <c r="E10" s="24"/>
      <c r="F10" s="25"/>
    </row>
    <row r="11" spans="2:18" ht="18.75" hidden="1" customHeight="1" x14ac:dyDescent="0.25"/>
    <row r="12" spans="2:18" ht="8.25" hidden="1" customHeight="1" x14ac:dyDescent="0.25"/>
    <row r="13" spans="2:18" ht="28.5" customHeight="1" x14ac:dyDescent="0.25">
      <c r="B13" s="26" t="s">
        <v>14</v>
      </c>
      <c r="C13" s="26"/>
      <c r="D13" s="26"/>
      <c r="E13" s="26"/>
      <c r="F13" s="26"/>
      <c r="G13" s="26"/>
      <c r="H13" s="26"/>
      <c r="I13" s="26"/>
      <c r="J13" s="26"/>
      <c r="K13" s="26"/>
    </row>
    <row r="14" spans="2:18" ht="14.25" customHeight="1" x14ac:dyDescent="0.25">
      <c r="B14" s="26" t="s">
        <v>15</v>
      </c>
      <c r="C14" s="26"/>
      <c r="D14" s="26"/>
      <c r="E14" s="26"/>
      <c r="F14" s="26"/>
      <c r="G14" s="26"/>
      <c r="H14" s="26"/>
      <c r="I14" s="26"/>
      <c r="J14" s="26"/>
      <c r="K14" s="26"/>
    </row>
    <row r="15" spans="2:18" ht="29.25" customHeight="1" x14ac:dyDescent="0.25">
      <c r="B15" s="26"/>
      <c r="C15" s="26"/>
      <c r="D15" s="26"/>
      <c r="E15" s="26"/>
      <c r="F15" s="26"/>
      <c r="G15" s="26"/>
      <c r="H15" s="26"/>
      <c r="I15" s="26"/>
      <c r="J15" s="26"/>
      <c r="K15" s="26"/>
    </row>
  </sheetData>
  <mergeCells count="21">
    <mergeCell ref="G2:G3"/>
    <mergeCell ref="H2:I2"/>
    <mergeCell ref="J2:K2"/>
    <mergeCell ref="F4:F5"/>
    <mergeCell ref="G4:G5"/>
    <mergeCell ref="H4:H5"/>
    <mergeCell ref="I4:I5"/>
    <mergeCell ref="J4:J5"/>
    <mergeCell ref="K4:K5"/>
    <mergeCell ref="B15:K15"/>
    <mergeCell ref="F6:F7"/>
    <mergeCell ref="G6:G7"/>
    <mergeCell ref="H6:H7"/>
    <mergeCell ref="I6:I7"/>
    <mergeCell ref="J6:J7"/>
    <mergeCell ref="K6:K7"/>
    <mergeCell ref="B9:F9"/>
    <mergeCell ref="H9:J9"/>
    <mergeCell ref="B10:F10"/>
    <mergeCell ref="B13:K13"/>
    <mergeCell ref="B14:K14"/>
  </mergeCells>
  <conditionalFormatting sqref="D2">
    <cfRule type="duplicateValues" dxfId="4" priority="1"/>
    <cfRule type="duplicateValues" dxfId="3" priority="2"/>
  </conditionalFormatting>
  <pageMargins left="0.7" right="0.7" top="0.75" bottom="0.75" header="0.3" footer="0.3"/>
  <pageSetup orientation="portrait" r:id="rId1"/>
  <headerFooter>
    <oddHeader>&amp;C&amp;"Aptos"&amp;11&amp;K000000 INTERNAL&amp;1#_x000D_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2]!ImportSetpoints24">
                <anchor moveWithCells="1" sizeWithCells="1">
                  <from>
                    <xdr:col>12</xdr:col>
                    <xdr:colOff>342900</xdr:colOff>
                    <xdr:row>3</xdr:row>
                    <xdr:rowOff>19050</xdr:rowOff>
                  </from>
                  <to>
                    <xdr:col>17</xdr:col>
                    <xdr:colOff>361950</xdr:colOff>
                    <xdr:row>5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E793-B835-4A40-9281-30A75650B0E2}">
  <sheetPr codeName="Sheet2"/>
  <dimension ref="A1:AH73"/>
  <sheetViews>
    <sheetView topLeftCell="A34" zoomScale="85" zoomScaleNormal="85" workbookViewId="0">
      <selection activeCell="C15" sqref="C15"/>
    </sheetView>
  </sheetViews>
  <sheetFormatPr defaultRowHeight="15" x14ac:dyDescent="0.25"/>
  <cols>
    <col min="1" max="1" width="27.28515625" style="21" customWidth="1"/>
    <col min="2" max="2" width="11.42578125" style="21" bestFit="1" customWidth="1"/>
    <col min="3" max="3" width="11.140625" style="21" bestFit="1" customWidth="1"/>
    <col min="4" max="4" width="8.85546875" style="21" bestFit="1" customWidth="1"/>
    <col min="5" max="5" width="7.85546875" style="21" bestFit="1" customWidth="1"/>
    <col min="6" max="6" width="10" style="21" bestFit="1" customWidth="1"/>
    <col min="7" max="7" width="16" style="21" bestFit="1" customWidth="1"/>
    <col min="8" max="8" width="10" style="21" bestFit="1" customWidth="1"/>
    <col min="9" max="9" width="11.140625" style="21" bestFit="1" customWidth="1"/>
    <col min="10" max="10" width="9.140625" style="21"/>
    <col min="11" max="11" width="8.7109375" style="21" bestFit="1" customWidth="1"/>
    <col min="12" max="12" width="16.140625" style="21" bestFit="1" customWidth="1"/>
    <col min="13" max="13" width="8.7109375" style="21" bestFit="1" customWidth="1"/>
    <col min="14" max="14" width="9.85546875" style="21" bestFit="1" customWidth="1"/>
    <col min="15" max="15" width="14.140625" style="21" bestFit="1" customWidth="1"/>
    <col min="17" max="17" width="24.7109375" bestFit="1" customWidth="1"/>
    <col min="21" max="23" width="11.28515625" bestFit="1" customWidth="1"/>
  </cols>
  <sheetData>
    <row r="1" spans="1:34" x14ac:dyDescent="0.25">
      <c r="A1" s="21" t="s">
        <v>0</v>
      </c>
      <c r="B1" s="21" t="s">
        <v>4</v>
      </c>
      <c r="C1" s="21" t="s">
        <v>7</v>
      </c>
      <c r="D1" s="21" t="s">
        <v>9</v>
      </c>
      <c r="E1" s="21" t="s">
        <v>16</v>
      </c>
      <c r="F1" s="21" t="s">
        <v>17</v>
      </c>
      <c r="G1" s="21" t="s">
        <v>18</v>
      </c>
      <c r="H1" s="21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1" t="s">
        <v>24</v>
      </c>
      <c r="N1" s="21" t="s">
        <v>25</v>
      </c>
      <c r="O1" s="21" t="s">
        <v>10</v>
      </c>
      <c r="P1" s="21" t="s">
        <v>26</v>
      </c>
      <c r="Q1" t="s">
        <v>27</v>
      </c>
      <c r="R1" s="21" t="s">
        <v>28</v>
      </c>
      <c r="S1" s="21" t="s">
        <v>29</v>
      </c>
      <c r="T1" s="21" t="s">
        <v>30</v>
      </c>
      <c r="U1" s="21" t="s">
        <v>31</v>
      </c>
      <c r="V1" s="21" t="s">
        <v>32</v>
      </c>
      <c r="W1" s="21" t="s">
        <v>33</v>
      </c>
      <c r="X1" s="21" t="s">
        <v>34</v>
      </c>
      <c r="Y1" s="21" t="s">
        <v>35</v>
      </c>
      <c r="Z1" s="21" t="s">
        <v>36</v>
      </c>
      <c r="AA1" s="21" t="s">
        <v>37</v>
      </c>
      <c r="AB1" s="21" t="s">
        <v>38</v>
      </c>
      <c r="AC1" s="21" t="s">
        <v>39</v>
      </c>
      <c r="AD1" s="21" t="s">
        <v>40</v>
      </c>
      <c r="AE1" s="21" t="s">
        <v>41</v>
      </c>
      <c r="AF1" s="21" t="s">
        <v>42</v>
      </c>
      <c r="AG1" s="21" t="s">
        <v>43</v>
      </c>
      <c r="AH1" s="21" t="s">
        <v>44</v>
      </c>
    </row>
    <row r="2" spans="1:34" x14ac:dyDescent="0.25">
      <c r="A2" s="21">
        <v>850959219</v>
      </c>
      <c r="B2" s="21" t="s">
        <v>45</v>
      </c>
      <c r="C2" s="21">
        <v>1</v>
      </c>
      <c r="D2" s="21">
        <v>1000</v>
      </c>
      <c r="E2" s="21">
        <v>0.37</v>
      </c>
      <c r="F2" s="21">
        <v>103</v>
      </c>
      <c r="G2" s="21">
        <v>1</v>
      </c>
      <c r="H2" s="21" t="s">
        <v>56</v>
      </c>
      <c r="I2" s="21">
        <v>1</v>
      </c>
      <c r="J2" s="21">
        <v>0.28000000000000003</v>
      </c>
      <c r="K2" s="21">
        <v>103</v>
      </c>
      <c r="L2" s="21">
        <v>1</v>
      </c>
      <c r="M2" s="21" t="s">
        <v>56</v>
      </c>
      <c r="N2" s="21">
        <v>1.2</v>
      </c>
      <c r="O2" s="21" t="s">
        <v>94</v>
      </c>
      <c r="P2" s="21">
        <v>0</v>
      </c>
      <c r="Q2" s="21">
        <v>0</v>
      </c>
      <c r="R2" s="21">
        <v>1</v>
      </c>
      <c r="S2" s="21">
        <v>12</v>
      </c>
      <c r="T2" s="21">
        <v>1</v>
      </c>
      <c r="U2" s="21">
        <v>0</v>
      </c>
      <c r="V2" s="21">
        <v>0</v>
      </c>
      <c r="W2" s="21">
        <v>1</v>
      </c>
      <c r="X2" s="21" t="s">
        <v>52</v>
      </c>
      <c r="Y2" s="21" t="s">
        <v>68</v>
      </c>
      <c r="Z2" s="21" t="s">
        <v>68</v>
      </c>
      <c r="AA2" s="21">
        <v>3.5999999999999997E-2</v>
      </c>
      <c r="AB2" s="21">
        <v>0.11600000000000001</v>
      </c>
      <c r="AC2" s="21">
        <v>0</v>
      </c>
      <c r="AD2" s="21">
        <v>7253075011</v>
      </c>
      <c r="AE2" s="22">
        <v>45536</v>
      </c>
      <c r="AF2" s="21" t="s">
        <v>54</v>
      </c>
      <c r="AG2" s="21" t="s">
        <v>76</v>
      </c>
      <c r="AH2" s="21" t="s">
        <v>100</v>
      </c>
    </row>
    <row r="3" spans="1:34" x14ac:dyDescent="0.25">
      <c r="A3" s="21">
        <v>851070817</v>
      </c>
      <c r="B3" s="21" t="s">
        <v>45</v>
      </c>
      <c r="C3" s="21">
        <v>5</v>
      </c>
      <c r="D3" s="21">
        <v>1000</v>
      </c>
      <c r="E3" s="21">
        <v>0.36</v>
      </c>
      <c r="F3" s="21">
        <v>104</v>
      </c>
      <c r="G3" s="21">
        <v>1</v>
      </c>
      <c r="H3" s="21">
        <v>134</v>
      </c>
      <c r="I3" s="21">
        <v>1</v>
      </c>
      <c r="J3" s="21">
        <v>0.25</v>
      </c>
      <c r="K3" s="21">
        <v>105</v>
      </c>
      <c r="L3" s="21">
        <v>1</v>
      </c>
      <c r="M3" s="21">
        <v>151</v>
      </c>
      <c r="N3" s="21">
        <v>1</v>
      </c>
      <c r="O3" s="21" t="s">
        <v>94</v>
      </c>
      <c r="P3" s="21">
        <v>1</v>
      </c>
      <c r="Q3" s="21">
        <v>0</v>
      </c>
      <c r="R3" s="21">
        <v>1</v>
      </c>
      <c r="S3" s="21">
        <v>12</v>
      </c>
      <c r="T3" s="21">
        <v>1</v>
      </c>
      <c r="U3" s="21">
        <v>0</v>
      </c>
      <c r="V3" s="21">
        <v>0</v>
      </c>
      <c r="W3" s="21">
        <v>3</v>
      </c>
      <c r="X3" s="21" t="s">
        <v>52</v>
      </c>
      <c r="Y3" s="21" t="s">
        <v>68</v>
      </c>
      <c r="Z3" s="21" t="s">
        <v>68</v>
      </c>
      <c r="AA3" s="21">
        <v>0.221</v>
      </c>
      <c r="AB3" s="21">
        <v>9.4E-2</v>
      </c>
      <c r="AC3" s="21">
        <v>0</v>
      </c>
      <c r="AD3" s="21">
        <v>7233397001</v>
      </c>
      <c r="AE3" s="22">
        <v>45536</v>
      </c>
      <c r="AF3" s="21" t="s">
        <v>54</v>
      </c>
      <c r="AG3" s="21" t="s">
        <v>76</v>
      </c>
      <c r="AH3" s="21" t="s">
        <v>77</v>
      </c>
    </row>
    <row r="4" spans="1:34" x14ac:dyDescent="0.25">
      <c r="A4" s="21">
        <v>85125206</v>
      </c>
      <c r="B4" s="21" t="s">
        <v>45</v>
      </c>
      <c r="C4" s="21">
        <v>5</v>
      </c>
      <c r="D4" s="21">
        <v>1000</v>
      </c>
      <c r="E4" s="21">
        <v>0.54</v>
      </c>
      <c r="F4" s="21">
        <v>104</v>
      </c>
      <c r="G4" s="21">
        <v>1</v>
      </c>
      <c r="H4" s="21">
        <v>134</v>
      </c>
      <c r="I4" s="21">
        <v>1</v>
      </c>
      <c r="J4" s="21">
        <v>0.33</v>
      </c>
      <c r="K4" s="21">
        <v>105</v>
      </c>
      <c r="L4" s="21">
        <v>1</v>
      </c>
      <c r="M4" s="21">
        <v>151</v>
      </c>
      <c r="N4" s="21">
        <v>1</v>
      </c>
      <c r="O4" s="21" t="s">
        <v>62</v>
      </c>
      <c r="P4" s="21">
        <v>1</v>
      </c>
      <c r="Q4" s="21">
        <v>0</v>
      </c>
      <c r="R4" s="21">
        <v>0</v>
      </c>
      <c r="S4" s="21">
        <v>0</v>
      </c>
      <c r="T4" s="21">
        <v>1</v>
      </c>
      <c r="U4" s="21">
        <v>0</v>
      </c>
      <c r="V4" s="21">
        <v>0</v>
      </c>
      <c r="W4" s="21">
        <v>3</v>
      </c>
      <c r="X4" s="21" t="s">
        <v>52</v>
      </c>
      <c r="Y4" s="21" t="s">
        <v>68</v>
      </c>
      <c r="Z4" s="21" t="s">
        <v>72</v>
      </c>
      <c r="AA4" s="21">
        <v>9.8000000000000004E-2</v>
      </c>
      <c r="AB4" s="21">
        <v>0</v>
      </c>
      <c r="AC4" s="21">
        <v>0</v>
      </c>
      <c r="AD4" s="21">
        <v>5201280114</v>
      </c>
      <c r="AE4" s="22">
        <v>43770</v>
      </c>
      <c r="AF4" s="21" t="s">
        <v>65</v>
      </c>
      <c r="AG4" s="21" t="s">
        <v>55</v>
      </c>
      <c r="AH4" s="21" t="s">
        <v>50</v>
      </c>
    </row>
    <row r="5" spans="1:34" x14ac:dyDescent="0.25">
      <c r="A5" s="21">
        <v>85125232</v>
      </c>
      <c r="B5" s="21" t="s">
        <v>45</v>
      </c>
      <c r="C5" s="21">
        <v>7</v>
      </c>
      <c r="D5" s="21">
        <v>1000</v>
      </c>
      <c r="E5" s="21">
        <v>0.77</v>
      </c>
      <c r="F5" s="21">
        <v>104</v>
      </c>
      <c r="G5" s="21">
        <v>1</v>
      </c>
      <c r="H5" s="21">
        <v>134</v>
      </c>
      <c r="I5" s="21">
        <v>1</v>
      </c>
      <c r="J5" s="21">
        <v>0.43</v>
      </c>
      <c r="K5" s="21">
        <v>105</v>
      </c>
      <c r="L5" s="21">
        <v>1</v>
      </c>
      <c r="M5" s="21">
        <v>151</v>
      </c>
      <c r="N5" s="21">
        <v>1</v>
      </c>
      <c r="O5" s="21" t="s">
        <v>90</v>
      </c>
      <c r="P5" s="21">
        <v>0</v>
      </c>
      <c r="Q5" s="21">
        <v>2</v>
      </c>
      <c r="R5" s="21">
        <v>1</v>
      </c>
      <c r="S5" s="21">
        <v>12</v>
      </c>
      <c r="T5" s="21">
        <v>1</v>
      </c>
      <c r="U5" s="21">
        <v>0</v>
      </c>
      <c r="V5" s="21">
        <v>0</v>
      </c>
      <c r="W5" s="21">
        <v>3</v>
      </c>
      <c r="X5" s="21" t="s">
        <v>52</v>
      </c>
      <c r="Y5" s="21" t="s">
        <v>68</v>
      </c>
      <c r="Z5" s="21" t="s">
        <v>68</v>
      </c>
      <c r="AA5" s="21">
        <v>0.252</v>
      </c>
      <c r="AB5" s="21">
        <v>0</v>
      </c>
      <c r="AC5" s="21">
        <v>0</v>
      </c>
      <c r="AD5" s="21">
        <v>5201280091</v>
      </c>
      <c r="AE5" s="22">
        <v>45566</v>
      </c>
      <c r="AF5" s="21" t="s">
        <v>65</v>
      </c>
      <c r="AG5" s="21" t="s">
        <v>55</v>
      </c>
      <c r="AH5" s="21" t="s">
        <v>50</v>
      </c>
    </row>
    <row r="6" spans="1:34" x14ac:dyDescent="0.25">
      <c r="A6" s="21">
        <v>85125242</v>
      </c>
      <c r="B6" s="21" t="s">
        <v>45</v>
      </c>
      <c r="C6" s="21">
        <v>7</v>
      </c>
      <c r="D6" s="21">
        <v>1000</v>
      </c>
      <c r="E6" s="21">
        <v>0.61</v>
      </c>
      <c r="F6" s="21">
        <v>104</v>
      </c>
      <c r="G6" s="21">
        <v>1</v>
      </c>
      <c r="H6" s="21">
        <v>134</v>
      </c>
      <c r="I6" s="21">
        <v>1</v>
      </c>
      <c r="J6" s="21">
        <v>0.37</v>
      </c>
      <c r="K6" s="21">
        <v>105</v>
      </c>
      <c r="L6" s="21">
        <v>1</v>
      </c>
      <c r="M6" s="21">
        <v>151</v>
      </c>
      <c r="N6" s="21">
        <v>1</v>
      </c>
      <c r="O6" s="21" t="s">
        <v>90</v>
      </c>
      <c r="P6" s="21">
        <v>0</v>
      </c>
      <c r="Q6" s="21">
        <v>3</v>
      </c>
      <c r="R6" s="21">
        <v>0</v>
      </c>
      <c r="S6" s="21">
        <v>0</v>
      </c>
      <c r="T6" s="21">
        <v>1</v>
      </c>
      <c r="U6" s="21">
        <v>1</v>
      </c>
      <c r="V6" s="21">
        <v>1</v>
      </c>
      <c r="W6" s="21">
        <v>3</v>
      </c>
      <c r="X6" s="21" t="s">
        <v>52</v>
      </c>
      <c r="Y6" s="21" t="s">
        <v>58</v>
      </c>
      <c r="Z6" s="21" t="s">
        <v>72</v>
      </c>
      <c r="AA6" s="21">
        <v>0.223</v>
      </c>
      <c r="AB6" s="21">
        <v>0</v>
      </c>
      <c r="AC6" s="21">
        <v>0</v>
      </c>
      <c r="AD6" s="21">
        <v>5201280094</v>
      </c>
      <c r="AE6" s="22">
        <v>43770</v>
      </c>
      <c r="AF6" s="21" t="s">
        <v>65</v>
      </c>
      <c r="AG6" s="21" t="s">
        <v>55</v>
      </c>
      <c r="AH6" s="21" t="s">
        <v>50</v>
      </c>
    </row>
    <row r="7" spans="1:34" x14ac:dyDescent="0.25">
      <c r="A7" s="21">
        <v>851736380</v>
      </c>
      <c r="B7" s="21" t="s">
        <v>45</v>
      </c>
      <c r="C7" s="21">
        <v>5</v>
      </c>
      <c r="D7" s="21">
        <v>1000</v>
      </c>
      <c r="E7" s="21">
        <v>0.36</v>
      </c>
      <c r="F7" s="21">
        <v>104</v>
      </c>
      <c r="G7" s="21">
        <v>1</v>
      </c>
      <c r="H7" s="21">
        <v>134</v>
      </c>
      <c r="I7" s="21">
        <v>1</v>
      </c>
      <c r="J7" s="21">
        <v>0.25</v>
      </c>
      <c r="K7" s="21">
        <v>105</v>
      </c>
      <c r="L7" s="21">
        <v>1</v>
      </c>
      <c r="M7" s="21">
        <v>151</v>
      </c>
      <c r="N7" s="21">
        <v>1</v>
      </c>
      <c r="O7" s="21" t="s">
        <v>94</v>
      </c>
      <c r="P7" s="21">
        <v>1</v>
      </c>
      <c r="Q7" s="21">
        <v>0</v>
      </c>
      <c r="R7" s="21">
        <v>1</v>
      </c>
      <c r="S7" s="21">
        <v>12</v>
      </c>
      <c r="T7" s="21">
        <v>1</v>
      </c>
      <c r="U7" s="21">
        <v>0</v>
      </c>
      <c r="V7" s="21">
        <v>0</v>
      </c>
      <c r="W7" s="21">
        <v>3</v>
      </c>
      <c r="X7" s="21" t="s">
        <v>52</v>
      </c>
      <c r="Y7" s="21" t="s">
        <v>68</v>
      </c>
      <c r="Z7" s="21" t="s">
        <v>68</v>
      </c>
      <c r="AA7" s="21">
        <v>0.20399999999999999</v>
      </c>
      <c r="AB7" s="21">
        <v>0.106</v>
      </c>
      <c r="AC7" s="21">
        <v>0</v>
      </c>
      <c r="AD7" s="21">
        <v>7233397000</v>
      </c>
      <c r="AE7" s="22">
        <v>45536</v>
      </c>
      <c r="AF7" s="21" t="s">
        <v>54</v>
      </c>
      <c r="AG7" s="21" t="s">
        <v>76</v>
      </c>
      <c r="AH7" s="21" t="s">
        <v>77</v>
      </c>
    </row>
    <row r="8" spans="1:34" x14ac:dyDescent="0.25">
      <c r="A8" s="21">
        <v>852663900</v>
      </c>
      <c r="B8" s="21" t="s">
        <v>45</v>
      </c>
      <c r="C8" s="21">
        <v>1</v>
      </c>
      <c r="D8" s="21">
        <v>1000</v>
      </c>
      <c r="E8" s="21">
        <v>0.39</v>
      </c>
      <c r="F8" s="21">
        <v>103</v>
      </c>
      <c r="G8" s="21">
        <v>1</v>
      </c>
      <c r="H8" s="21" t="s">
        <v>56</v>
      </c>
      <c r="I8" s="21">
        <v>2.2000000000000002</v>
      </c>
      <c r="J8" s="21">
        <v>0.39</v>
      </c>
      <c r="K8" s="21">
        <v>103</v>
      </c>
      <c r="L8" s="21">
        <v>1</v>
      </c>
      <c r="M8" s="21" t="s">
        <v>56</v>
      </c>
      <c r="N8" s="21">
        <v>2.2000000000000002</v>
      </c>
      <c r="O8" s="21" t="s">
        <v>94</v>
      </c>
      <c r="P8" s="21">
        <v>0</v>
      </c>
      <c r="Q8" s="21">
        <v>1</v>
      </c>
      <c r="R8" s="21">
        <v>0</v>
      </c>
      <c r="S8" s="21">
        <v>3</v>
      </c>
      <c r="T8" s="21">
        <v>0</v>
      </c>
      <c r="U8" s="21">
        <v>0</v>
      </c>
      <c r="V8" s="21">
        <v>0</v>
      </c>
      <c r="W8" s="21">
        <v>0</v>
      </c>
      <c r="X8" s="21" t="s">
        <v>52</v>
      </c>
      <c r="Y8" s="21" t="s">
        <v>53</v>
      </c>
      <c r="Z8" s="21" t="s">
        <v>53</v>
      </c>
      <c r="AA8" s="21">
        <v>0.129</v>
      </c>
      <c r="AB8" s="21">
        <v>0.1</v>
      </c>
      <c r="AC8" s="21">
        <v>0</v>
      </c>
      <c r="AD8" s="21">
        <v>3231605628</v>
      </c>
      <c r="AE8" s="22">
        <v>46023</v>
      </c>
      <c r="AF8" s="21" t="s">
        <v>54</v>
      </c>
      <c r="AG8" s="21" t="s">
        <v>76</v>
      </c>
      <c r="AH8" s="21" t="s">
        <v>77</v>
      </c>
    </row>
    <row r="9" spans="1:34" x14ac:dyDescent="0.25">
      <c r="A9" s="21">
        <v>852985945</v>
      </c>
      <c r="B9" s="21" t="s">
        <v>45</v>
      </c>
      <c r="C9" s="21">
        <v>1</v>
      </c>
      <c r="D9" s="21">
        <v>1000</v>
      </c>
      <c r="E9" s="21">
        <v>0.43</v>
      </c>
      <c r="F9" s="21">
        <v>103</v>
      </c>
      <c r="G9" s="21">
        <v>1</v>
      </c>
      <c r="H9" s="21" t="s">
        <v>56</v>
      </c>
      <c r="I9" s="21">
        <v>1.1000000000000001</v>
      </c>
      <c r="J9" s="21">
        <v>0.28999999999999998</v>
      </c>
      <c r="K9" s="21">
        <v>103</v>
      </c>
      <c r="L9" s="21">
        <v>1</v>
      </c>
      <c r="M9" s="21" t="s">
        <v>56</v>
      </c>
      <c r="N9" s="21">
        <v>1.6</v>
      </c>
      <c r="O9" s="21" t="s">
        <v>94</v>
      </c>
      <c r="P9" s="21">
        <v>0</v>
      </c>
      <c r="Q9" s="21">
        <v>0</v>
      </c>
      <c r="R9" s="21">
        <v>0</v>
      </c>
      <c r="S9" s="21">
        <v>1</v>
      </c>
      <c r="T9" s="21">
        <v>1</v>
      </c>
      <c r="U9" s="21">
        <v>0</v>
      </c>
      <c r="V9" s="21">
        <v>0</v>
      </c>
      <c r="W9" s="21">
        <v>0</v>
      </c>
      <c r="X9" s="21" t="s">
        <v>52</v>
      </c>
      <c r="Y9" s="21" t="s">
        <v>75</v>
      </c>
      <c r="Z9" s="21" t="s">
        <v>75</v>
      </c>
      <c r="AA9" s="21">
        <v>6.5000000000000002E-2</v>
      </c>
      <c r="AB9" s="21">
        <v>5.5E-2</v>
      </c>
      <c r="AC9" s="21">
        <v>0</v>
      </c>
      <c r="AD9" s="21">
        <v>7233397004</v>
      </c>
      <c r="AE9" s="22">
        <v>46023</v>
      </c>
      <c r="AF9" s="21" t="s">
        <v>54</v>
      </c>
      <c r="AG9" s="21" t="s">
        <v>76</v>
      </c>
      <c r="AH9" s="21" t="s">
        <v>77</v>
      </c>
    </row>
    <row r="10" spans="1:34" x14ac:dyDescent="0.25">
      <c r="A10" s="21">
        <v>853041751</v>
      </c>
      <c r="B10" s="21" t="s">
        <v>45</v>
      </c>
      <c r="C10" s="21">
        <v>5</v>
      </c>
      <c r="D10" s="21">
        <v>1000</v>
      </c>
      <c r="E10" s="21">
        <v>0.72</v>
      </c>
      <c r="F10" s="21">
        <v>104</v>
      </c>
      <c r="G10" s="21">
        <v>1</v>
      </c>
      <c r="H10" s="21">
        <v>134</v>
      </c>
      <c r="I10" s="21">
        <v>1</v>
      </c>
      <c r="J10" s="21">
        <v>0.44</v>
      </c>
      <c r="K10" s="21">
        <v>105</v>
      </c>
      <c r="L10" s="21">
        <v>1</v>
      </c>
      <c r="M10" s="21">
        <v>151</v>
      </c>
      <c r="N10" s="21">
        <v>1</v>
      </c>
      <c r="O10" s="21" t="s">
        <v>94</v>
      </c>
      <c r="P10" s="21">
        <v>1</v>
      </c>
      <c r="Q10" s="21">
        <v>0</v>
      </c>
      <c r="R10" s="21">
        <v>1</v>
      </c>
      <c r="S10" s="21">
        <v>12</v>
      </c>
      <c r="T10" s="21">
        <v>1</v>
      </c>
      <c r="U10" s="21">
        <v>0</v>
      </c>
      <c r="V10" s="21">
        <v>0</v>
      </c>
      <c r="W10" s="21">
        <v>3</v>
      </c>
      <c r="X10" s="21" t="s">
        <v>52</v>
      </c>
      <c r="Y10" s="21" t="s">
        <v>63</v>
      </c>
      <c r="Z10" s="21" t="s">
        <v>63</v>
      </c>
      <c r="AA10" s="21">
        <v>7.2999999999999995E-2</v>
      </c>
      <c r="AB10" s="21">
        <v>4.5999999999999999E-2</v>
      </c>
      <c r="AC10" s="21">
        <v>0</v>
      </c>
      <c r="AD10" s="21">
        <v>3233205469</v>
      </c>
      <c r="AE10" s="22">
        <v>45536</v>
      </c>
      <c r="AF10" s="21" t="s">
        <v>54</v>
      </c>
      <c r="AG10" s="21" t="s">
        <v>76</v>
      </c>
      <c r="AH10" s="21" t="s">
        <v>77</v>
      </c>
    </row>
    <row r="11" spans="1:34" x14ac:dyDescent="0.25">
      <c r="A11" s="21">
        <v>853363803</v>
      </c>
      <c r="B11" s="21" t="s">
        <v>45</v>
      </c>
      <c r="C11" s="21">
        <v>1</v>
      </c>
      <c r="D11" s="21">
        <v>1000</v>
      </c>
      <c r="E11" s="21">
        <v>0.28999999999999998</v>
      </c>
      <c r="F11" s="21">
        <v>103</v>
      </c>
      <c r="G11" s="21">
        <v>1</v>
      </c>
      <c r="H11" s="21" t="s">
        <v>56</v>
      </c>
      <c r="I11" s="21">
        <v>0.9</v>
      </c>
      <c r="J11" s="21">
        <v>0.24</v>
      </c>
      <c r="K11" s="21">
        <v>103</v>
      </c>
      <c r="L11" s="21">
        <v>1</v>
      </c>
      <c r="M11" s="21" t="s">
        <v>56</v>
      </c>
      <c r="N11" s="21">
        <v>1.2</v>
      </c>
      <c r="O11" s="21" t="s">
        <v>94</v>
      </c>
      <c r="P11" s="21">
        <v>0</v>
      </c>
      <c r="Q11" s="21">
        <v>0</v>
      </c>
      <c r="R11" s="21">
        <v>0</v>
      </c>
      <c r="S11" s="21">
        <v>1</v>
      </c>
      <c r="T11" s="21">
        <v>1</v>
      </c>
      <c r="U11" s="21">
        <v>0</v>
      </c>
      <c r="V11" s="21">
        <v>0</v>
      </c>
      <c r="W11" s="21">
        <v>0</v>
      </c>
      <c r="X11" s="21" t="s">
        <v>52</v>
      </c>
      <c r="Y11" s="21" t="s">
        <v>75</v>
      </c>
      <c r="Z11" s="21" t="s">
        <v>75</v>
      </c>
      <c r="AA11" s="21">
        <v>5.7000000000000002E-2</v>
      </c>
      <c r="AB11" s="21">
        <v>4.2000000000000003E-2</v>
      </c>
      <c r="AC11" s="21">
        <v>0</v>
      </c>
      <c r="AD11" s="21">
        <v>3231305651</v>
      </c>
      <c r="AE11" s="22">
        <v>46023</v>
      </c>
      <c r="AF11" s="21" t="s">
        <v>54</v>
      </c>
      <c r="AG11" s="21" t="s">
        <v>76</v>
      </c>
      <c r="AH11" s="21" t="s">
        <v>77</v>
      </c>
    </row>
    <row r="12" spans="1:34" x14ac:dyDescent="0.25">
      <c r="A12" s="21">
        <v>85356906</v>
      </c>
      <c r="B12" s="21" t="s">
        <v>45</v>
      </c>
      <c r="C12" s="21">
        <v>5</v>
      </c>
      <c r="D12" s="21">
        <v>1000</v>
      </c>
      <c r="E12" s="21">
        <v>0.67</v>
      </c>
      <c r="F12" s="21">
        <v>104</v>
      </c>
      <c r="G12" s="21">
        <v>1</v>
      </c>
      <c r="H12" s="21">
        <v>134</v>
      </c>
      <c r="I12" s="21">
        <v>1</v>
      </c>
      <c r="J12" s="21">
        <v>0.38</v>
      </c>
      <c r="K12" s="21">
        <v>105</v>
      </c>
      <c r="L12" s="21">
        <v>1</v>
      </c>
      <c r="M12" s="21">
        <v>151</v>
      </c>
      <c r="N12" s="21">
        <v>1</v>
      </c>
      <c r="O12" s="21" t="s">
        <v>59</v>
      </c>
      <c r="P12" s="21">
        <v>1</v>
      </c>
      <c r="Q12" s="21">
        <v>0</v>
      </c>
      <c r="R12" s="21">
        <v>1</v>
      </c>
      <c r="S12" s="21">
        <v>12</v>
      </c>
      <c r="T12" s="21">
        <v>1</v>
      </c>
      <c r="U12" s="21">
        <v>0</v>
      </c>
      <c r="V12" s="21">
        <v>0</v>
      </c>
      <c r="W12" s="21">
        <v>3</v>
      </c>
      <c r="X12" s="21" t="s">
        <v>52</v>
      </c>
      <c r="Y12" s="21" t="s">
        <v>63</v>
      </c>
      <c r="Z12" s="21" t="s">
        <v>63</v>
      </c>
      <c r="AA12" s="21">
        <v>0.11</v>
      </c>
      <c r="AB12" s="21">
        <v>0</v>
      </c>
      <c r="AC12" s="21">
        <v>0</v>
      </c>
      <c r="AD12" s="21">
        <v>5201280058</v>
      </c>
      <c r="AE12" s="22">
        <v>45566</v>
      </c>
      <c r="AF12" s="21" t="s">
        <v>65</v>
      </c>
      <c r="AG12" s="21" t="s">
        <v>55</v>
      </c>
      <c r="AH12" s="21" t="s">
        <v>50</v>
      </c>
    </row>
    <row r="13" spans="1:34" x14ac:dyDescent="0.25">
      <c r="A13" s="21">
        <v>85356916</v>
      </c>
      <c r="B13" s="21" t="s">
        <v>45</v>
      </c>
      <c r="C13" s="21">
        <v>5</v>
      </c>
      <c r="D13" s="21">
        <v>1000</v>
      </c>
      <c r="E13" s="21">
        <v>0.55000000000000004</v>
      </c>
      <c r="F13" s="21">
        <v>104</v>
      </c>
      <c r="G13" s="21">
        <v>1</v>
      </c>
      <c r="H13" s="21">
        <v>134</v>
      </c>
      <c r="I13" s="21">
        <v>1</v>
      </c>
      <c r="J13" s="21">
        <v>0.34</v>
      </c>
      <c r="K13" s="21">
        <v>105</v>
      </c>
      <c r="L13" s="21">
        <v>1</v>
      </c>
      <c r="M13" s="21">
        <v>151</v>
      </c>
      <c r="N13" s="21">
        <v>1</v>
      </c>
      <c r="O13" s="21" t="s">
        <v>92</v>
      </c>
      <c r="P13" s="21">
        <v>1</v>
      </c>
      <c r="Q13" s="21">
        <v>0</v>
      </c>
      <c r="R13" s="21">
        <v>1</v>
      </c>
      <c r="S13" s="21">
        <v>12</v>
      </c>
      <c r="T13" s="21">
        <v>1</v>
      </c>
      <c r="U13" s="21">
        <v>0</v>
      </c>
      <c r="V13" s="21">
        <v>0</v>
      </c>
      <c r="W13" s="21">
        <v>3</v>
      </c>
      <c r="X13" s="21" t="s">
        <v>52</v>
      </c>
      <c r="Y13" s="21" t="s">
        <v>75</v>
      </c>
      <c r="Z13" s="21" t="s">
        <v>75</v>
      </c>
      <c r="AA13" s="21">
        <v>0.113</v>
      </c>
      <c r="AB13" s="21">
        <v>0</v>
      </c>
      <c r="AC13" s="21">
        <v>0</v>
      </c>
      <c r="AD13" s="21">
        <v>5201280102</v>
      </c>
      <c r="AE13" s="22">
        <v>45566</v>
      </c>
      <c r="AF13" s="21" t="s">
        <v>65</v>
      </c>
      <c r="AG13" s="21" t="s">
        <v>55</v>
      </c>
      <c r="AH13" s="21" t="s">
        <v>50</v>
      </c>
    </row>
    <row r="14" spans="1:34" x14ac:dyDescent="0.25">
      <c r="A14" s="21">
        <v>85356921</v>
      </c>
      <c r="B14" s="21" t="s">
        <v>45</v>
      </c>
      <c r="C14" s="21">
        <v>5</v>
      </c>
      <c r="D14" s="21">
        <v>1000</v>
      </c>
      <c r="E14" s="21">
        <v>0.77</v>
      </c>
      <c r="F14" s="21">
        <v>104</v>
      </c>
      <c r="G14" s="21">
        <v>1</v>
      </c>
      <c r="H14" s="21">
        <v>134</v>
      </c>
      <c r="I14" s="21">
        <v>1</v>
      </c>
      <c r="J14" s="21">
        <v>0.43</v>
      </c>
      <c r="K14" s="21">
        <v>105</v>
      </c>
      <c r="L14" s="21">
        <v>1</v>
      </c>
      <c r="M14" s="21">
        <v>151</v>
      </c>
      <c r="N14" s="21">
        <v>1</v>
      </c>
      <c r="O14" s="21" t="s">
        <v>59</v>
      </c>
      <c r="P14" s="21">
        <v>1</v>
      </c>
      <c r="Q14" s="21">
        <v>0</v>
      </c>
      <c r="R14" s="21">
        <v>1</v>
      </c>
      <c r="S14" s="21">
        <v>12</v>
      </c>
      <c r="T14" s="21">
        <v>1</v>
      </c>
      <c r="U14" s="21">
        <v>0</v>
      </c>
      <c r="V14" s="21">
        <v>0</v>
      </c>
      <c r="W14" s="21">
        <v>3</v>
      </c>
      <c r="X14" s="21" t="s">
        <v>52</v>
      </c>
      <c r="Y14" s="21" t="s">
        <v>63</v>
      </c>
      <c r="Z14" s="21" t="s">
        <v>63</v>
      </c>
      <c r="AA14" s="21">
        <v>0.03</v>
      </c>
      <c r="AB14" s="21">
        <v>0</v>
      </c>
      <c r="AC14" s="21">
        <v>0</v>
      </c>
      <c r="AD14" s="21">
        <v>5201280085</v>
      </c>
      <c r="AE14" s="22">
        <v>45566</v>
      </c>
      <c r="AF14" s="21" t="s">
        <v>65</v>
      </c>
      <c r="AG14" s="21" t="s">
        <v>55</v>
      </c>
      <c r="AH14" s="21" t="s">
        <v>50</v>
      </c>
    </row>
    <row r="15" spans="1:34" x14ac:dyDescent="0.25">
      <c r="A15" s="21">
        <v>85356931</v>
      </c>
      <c r="B15" s="21" t="s">
        <v>45</v>
      </c>
      <c r="C15" s="21">
        <v>7</v>
      </c>
      <c r="D15" s="21">
        <v>1000</v>
      </c>
      <c r="E15" s="21">
        <v>0.77</v>
      </c>
      <c r="F15" s="21">
        <v>104</v>
      </c>
      <c r="G15" s="21">
        <v>1</v>
      </c>
      <c r="H15" s="21">
        <v>134</v>
      </c>
      <c r="I15" s="21">
        <v>1</v>
      </c>
      <c r="J15" s="21">
        <v>0.4</v>
      </c>
      <c r="K15" s="21">
        <v>105</v>
      </c>
      <c r="L15" s="21">
        <v>1</v>
      </c>
      <c r="M15" s="21">
        <v>151</v>
      </c>
      <c r="N15" s="21">
        <v>1</v>
      </c>
      <c r="O15" s="21" t="s">
        <v>97</v>
      </c>
      <c r="P15" s="21">
        <v>0</v>
      </c>
      <c r="Q15" s="21">
        <v>2</v>
      </c>
      <c r="R15" s="21">
        <v>1</v>
      </c>
      <c r="S15" s="21">
        <v>12</v>
      </c>
      <c r="T15" s="21">
        <v>1</v>
      </c>
      <c r="U15" s="21">
        <v>0</v>
      </c>
      <c r="V15" s="21">
        <v>0</v>
      </c>
      <c r="W15" s="21">
        <v>3</v>
      </c>
      <c r="X15" s="21" t="s">
        <v>52</v>
      </c>
      <c r="Y15" s="21" t="s">
        <v>75</v>
      </c>
      <c r="Z15" s="21" t="s">
        <v>75</v>
      </c>
      <c r="AA15" s="21">
        <v>0.15</v>
      </c>
      <c r="AB15" s="21">
        <v>0</v>
      </c>
      <c r="AC15" s="21">
        <v>0</v>
      </c>
      <c r="AD15" s="21">
        <v>5190430031</v>
      </c>
      <c r="AE15" s="22">
        <v>45566</v>
      </c>
      <c r="AF15" s="21" t="s">
        <v>65</v>
      </c>
      <c r="AG15" s="21" t="s">
        <v>55</v>
      </c>
      <c r="AH15" s="21" t="s">
        <v>50</v>
      </c>
    </row>
    <row r="16" spans="1:34" x14ac:dyDescent="0.25">
      <c r="A16" s="21">
        <v>853801830</v>
      </c>
      <c r="B16" s="21" t="s">
        <v>45</v>
      </c>
      <c r="C16" s="21">
        <v>8</v>
      </c>
      <c r="D16" s="21">
        <v>1000</v>
      </c>
      <c r="E16" s="21">
        <v>0.39</v>
      </c>
      <c r="F16" s="21">
        <v>104</v>
      </c>
      <c r="G16" s="21">
        <v>1</v>
      </c>
      <c r="H16" s="21">
        <v>134</v>
      </c>
      <c r="I16" s="21">
        <v>1</v>
      </c>
      <c r="J16" s="21">
        <v>0.27</v>
      </c>
      <c r="K16" s="21">
        <v>105</v>
      </c>
      <c r="L16" s="21">
        <v>1</v>
      </c>
      <c r="M16" s="21">
        <v>151</v>
      </c>
      <c r="N16" s="21">
        <v>1</v>
      </c>
      <c r="O16" s="21" t="s">
        <v>94</v>
      </c>
      <c r="P16" s="21">
        <v>0</v>
      </c>
      <c r="Q16" s="21">
        <v>3</v>
      </c>
      <c r="R16" s="21">
        <v>1</v>
      </c>
      <c r="S16" s="21">
        <v>12</v>
      </c>
      <c r="T16" s="21">
        <v>1</v>
      </c>
      <c r="U16" s="21">
        <v>0</v>
      </c>
      <c r="V16" s="21">
        <v>0</v>
      </c>
      <c r="W16" s="21">
        <v>1</v>
      </c>
      <c r="X16" s="21" t="s">
        <v>52</v>
      </c>
      <c r="Y16" s="21" t="s">
        <v>68</v>
      </c>
      <c r="Z16" s="21" t="s">
        <v>68</v>
      </c>
      <c r="AA16" s="21">
        <v>5.7000000000000002E-2</v>
      </c>
      <c r="AB16" s="21">
        <v>8.2000000000000003E-2</v>
      </c>
      <c r="AC16" s="21">
        <v>0</v>
      </c>
      <c r="AD16" s="21">
        <v>7253105027</v>
      </c>
      <c r="AE16" s="22">
        <v>45536</v>
      </c>
      <c r="AF16" s="21" t="s">
        <v>54</v>
      </c>
      <c r="AG16" s="21" t="s">
        <v>76</v>
      </c>
      <c r="AH16" s="21" t="s">
        <v>100</v>
      </c>
    </row>
    <row r="17" spans="1:34" x14ac:dyDescent="0.25">
      <c r="A17" s="21">
        <v>853831898</v>
      </c>
      <c r="B17" s="21" t="s">
        <v>45</v>
      </c>
      <c r="C17" s="21">
        <v>1</v>
      </c>
      <c r="D17" s="21">
        <v>1000</v>
      </c>
      <c r="E17" s="21">
        <v>0.4</v>
      </c>
      <c r="F17" s="21" t="s">
        <v>60</v>
      </c>
      <c r="G17" s="21">
        <v>0.5</v>
      </c>
      <c r="H17" s="21" t="s">
        <v>56</v>
      </c>
      <c r="I17" s="21">
        <v>0.8</v>
      </c>
      <c r="J17" s="21">
        <v>0.28000000000000003</v>
      </c>
      <c r="K17" s="21" t="s">
        <v>60</v>
      </c>
      <c r="L17" s="21">
        <v>0.5</v>
      </c>
      <c r="M17" s="21" t="s">
        <v>56</v>
      </c>
      <c r="N17" s="21">
        <v>1.6</v>
      </c>
      <c r="O17" s="21" t="s">
        <v>94</v>
      </c>
      <c r="P17" s="21">
        <v>0</v>
      </c>
      <c r="Q17" s="21">
        <v>0</v>
      </c>
      <c r="R17" s="21">
        <v>1</v>
      </c>
      <c r="S17" s="21">
        <v>12</v>
      </c>
      <c r="T17" s="21">
        <v>1</v>
      </c>
      <c r="U17" s="21">
        <v>0</v>
      </c>
      <c r="V17" s="21">
        <v>0</v>
      </c>
      <c r="W17" s="21">
        <v>1</v>
      </c>
      <c r="X17" s="21" t="s">
        <v>52</v>
      </c>
      <c r="Y17" s="21" t="s">
        <v>58</v>
      </c>
      <c r="Z17" s="21" t="s">
        <v>58</v>
      </c>
      <c r="AA17" s="21">
        <v>0.14399999999999999</v>
      </c>
      <c r="AB17" s="21">
        <v>0.10199999999999999</v>
      </c>
      <c r="AC17" s="21">
        <v>0</v>
      </c>
      <c r="AD17" s="21">
        <v>3231365475</v>
      </c>
      <c r="AE17" s="22">
        <v>45536</v>
      </c>
      <c r="AF17" s="21" t="s">
        <v>54</v>
      </c>
      <c r="AG17" s="21" t="s">
        <v>76</v>
      </c>
      <c r="AH17" s="21" t="s">
        <v>77</v>
      </c>
    </row>
    <row r="18" spans="1:34" x14ac:dyDescent="0.25">
      <c r="A18" s="21">
        <v>853844843</v>
      </c>
      <c r="B18" s="21" t="s">
        <v>45</v>
      </c>
      <c r="C18" s="21">
        <v>8</v>
      </c>
      <c r="D18" s="21">
        <v>1000</v>
      </c>
      <c r="E18" s="21">
        <v>0.51</v>
      </c>
      <c r="F18" s="21">
        <v>104</v>
      </c>
      <c r="G18" s="21">
        <v>1</v>
      </c>
      <c r="H18" s="21">
        <v>134</v>
      </c>
      <c r="I18" s="21">
        <v>1</v>
      </c>
      <c r="J18" s="21">
        <v>0.38</v>
      </c>
      <c r="K18" s="21">
        <v>105</v>
      </c>
      <c r="L18" s="21">
        <v>1</v>
      </c>
      <c r="M18" s="21">
        <v>151</v>
      </c>
      <c r="N18" s="21">
        <v>1</v>
      </c>
      <c r="O18" s="21" t="s">
        <v>67</v>
      </c>
      <c r="P18" s="21">
        <v>0</v>
      </c>
      <c r="Q18" s="21">
        <v>3</v>
      </c>
      <c r="R18" s="21">
        <v>1</v>
      </c>
      <c r="S18" s="21">
        <v>12</v>
      </c>
      <c r="T18" s="21">
        <v>1</v>
      </c>
      <c r="U18" s="21">
        <v>0</v>
      </c>
      <c r="V18" s="21">
        <v>0</v>
      </c>
      <c r="W18" s="21">
        <v>1</v>
      </c>
      <c r="X18" s="21" t="s">
        <v>52</v>
      </c>
      <c r="Y18" s="21" t="s">
        <v>47</v>
      </c>
      <c r="Z18" s="21" t="s">
        <v>47</v>
      </c>
      <c r="AA18" s="21">
        <v>9.1999999999999998E-2</v>
      </c>
      <c r="AB18" s="21">
        <v>0.111</v>
      </c>
      <c r="AC18" s="21">
        <v>0</v>
      </c>
      <c r="AD18" s="21">
        <v>3231365501</v>
      </c>
      <c r="AE18" s="22">
        <v>45536</v>
      </c>
      <c r="AF18" s="21" t="s">
        <v>54</v>
      </c>
      <c r="AG18" s="21" t="s">
        <v>76</v>
      </c>
      <c r="AH18" s="21" t="s">
        <v>77</v>
      </c>
    </row>
    <row r="19" spans="1:34" x14ac:dyDescent="0.25">
      <c r="A19" s="21">
        <v>853883412</v>
      </c>
      <c r="B19" s="21" t="s">
        <v>45</v>
      </c>
      <c r="C19" s="21">
        <v>1</v>
      </c>
      <c r="D19" s="21">
        <v>1000</v>
      </c>
      <c r="E19" s="21">
        <v>0.4</v>
      </c>
      <c r="F19" s="21">
        <v>103</v>
      </c>
      <c r="G19" s="21">
        <v>1</v>
      </c>
      <c r="H19" s="21" t="s">
        <v>56</v>
      </c>
      <c r="I19" s="21">
        <v>1</v>
      </c>
      <c r="J19" s="21">
        <v>0.28000000000000003</v>
      </c>
      <c r="K19" s="21">
        <v>103</v>
      </c>
      <c r="L19" s="21">
        <v>1</v>
      </c>
      <c r="M19" s="21" t="s">
        <v>56</v>
      </c>
      <c r="N19" s="21">
        <v>1.6</v>
      </c>
      <c r="O19" s="21" t="s">
        <v>94</v>
      </c>
      <c r="P19" s="21">
        <v>0</v>
      </c>
      <c r="Q19" s="21">
        <v>0</v>
      </c>
      <c r="R19" s="21">
        <v>1</v>
      </c>
      <c r="S19" s="21">
        <v>12</v>
      </c>
      <c r="T19" s="21">
        <v>1</v>
      </c>
      <c r="U19" s="21">
        <v>0</v>
      </c>
      <c r="V19" s="21">
        <v>0</v>
      </c>
      <c r="W19" s="21">
        <v>1</v>
      </c>
      <c r="X19" s="21" t="s">
        <v>52</v>
      </c>
      <c r="Y19" s="21" t="s">
        <v>68</v>
      </c>
      <c r="Z19" s="21" t="s">
        <v>68</v>
      </c>
      <c r="AA19" s="21">
        <v>1.0389999999999999</v>
      </c>
      <c r="AB19" s="21">
        <v>0.19900000000000001</v>
      </c>
      <c r="AC19" s="21">
        <v>0</v>
      </c>
      <c r="AD19" s="21">
        <v>7253105005</v>
      </c>
      <c r="AE19" s="22">
        <v>45536</v>
      </c>
      <c r="AF19" s="21" t="s">
        <v>54</v>
      </c>
      <c r="AG19" s="21" t="s">
        <v>76</v>
      </c>
      <c r="AH19" s="21" t="s">
        <v>100</v>
      </c>
    </row>
    <row r="20" spans="1:34" x14ac:dyDescent="0.25">
      <c r="A20" s="21">
        <v>85391268</v>
      </c>
      <c r="B20" s="21" t="s">
        <v>45</v>
      </c>
      <c r="C20" s="21">
        <v>1</v>
      </c>
      <c r="D20" s="21">
        <v>1000</v>
      </c>
      <c r="E20" s="21">
        <v>0.44</v>
      </c>
      <c r="F20" s="21">
        <v>103</v>
      </c>
      <c r="G20" s="21">
        <v>1</v>
      </c>
      <c r="H20" s="21" t="s">
        <v>56</v>
      </c>
      <c r="I20" s="21">
        <v>1.7</v>
      </c>
      <c r="J20" s="21">
        <v>0.34</v>
      </c>
      <c r="K20" s="21">
        <v>103</v>
      </c>
      <c r="L20" s="21">
        <v>1</v>
      </c>
      <c r="M20" s="21" t="s">
        <v>56</v>
      </c>
      <c r="N20" s="21">
        <v>1.8</v>
      </c>
      <c r="O20" s="21" t="s">
        <v>89</v>
      </c>
      <c r="P20" s="21">
        <v>0</v>
      </c>
      <c r="Q20" s="21">
        <v>0</v>
      </c>
      <c r="R20" s="21">
        <v>1</v>
      </c>
      <c r="S20" s="21">
        <v>12</v>
      </c>
      <c r="T20" s="21">
        <v>1</v>
      </c>
      <c r="U20" s="21">
        <v>0</v>
      </c>
      <c r="V20" s="21">
        <v>0</v>
      </c>
      <c r="W20" s="21">
        <v>1</v>
      </c>
      <c r="X20" s="21" t="s">
        <v>46</v>
      </c>
      <c r="Y20" s="21" t="s">
        <v>58</v>
      </c>
      <c r="Z20" s="21" t="s">
        <v>58</v>
      </c>
      <c r="AA20" s="21">
        <v>0.28699999999999998</v>
      </c>
      <c r="AB20" s="21">
        <v>0</v>
      </c>
      <c r="AC20" s="21">
        <v>0</v>
      </c>
      <c r="AD20" s="21">
        <v>7203167000</v>
      </c>
      <c r="AE20" s="22">
        <v>45536</v>
      </c>
      <c r="AF20" s="21" t="s">
        <v>73</v>
      </c>
      <c r="AG20" s="21" t="s">
        <v>55</v>
      </c>
      <c r="AH20" s="21" t="s">
        <v>50</v>
      </c>
    </row>
    <row r="21" spans="1:34" x14ac:dyDescent="0.25">
      <c r="A21" s="21">
        <v>853973563</v>
      </c>
      <c r="B21" s="21" t="s">
        <v>45</v>
      </c>
      <c r="C21" s="21">
        <v>1</v>
      </c>
      <c r="D21" s="21">
        <v>1000</v>
      </c>
      <c r="E21" s="21">
        <v>0.49</v>
      </c>
      <c r="F21" s="21">
        <v>103</v>
      </c>
      <c r="G21" s="21">
        <v>1</v>
      </c>
      <c r="H21" s="21" t="s">
        <v>56</v>
      </c>
      <c r="I21" s="21">
        <v>1.1000000000000001</v>
      </c>
      <c r="J21" s="21">
        <v>0.38</v>
      </c>
      <c r="K21" s="21">
        <v>103</v>
      </c>
      <c r="L21" s="21">
        <v>1</v>
      </c>
      <c r="M21" s="21" t="s">
        <v>56</v>
      </c>
      <c r="N21" s="21">
        <v>1.2</v>
      </c>
      <c r="O21" s="21" t="s">
        <v>94</v>
      </c>
      <c r="P21" s="21">
        <v>0</v>
      </c>
      <c r="Q21" s="21">
        <v>0</v>
      </c>
      <c r="R21" s="21">
        <v>1</v>
      </c>
      <c r="S21" s="21">
        <v>12</v>
      </c>
      <c r="T21" s="21">
        <v>1</v>
      </c>
      <c r="U21" s="21">
        <v>0</v>
      </c>
      <c r="V21" s="21">
        <v>0</v>
      </c>
      <c r="W21" s="21">
        <v>1</v>
      </c>
      <c r="X21" s="21" t="s">
        <v>52</v>
      </c>
      <c r="Y21" s="21" t="s">
        <v>47</v>
      </c>
      <c r="Z21" s="21" t="s">
        <v>47</v>
      </c>
      <c r="AA21" s="21">
        <v>0.21199999999999999</v>
      </c>
      <c r="AB21" s="21">
        <v>0.21199999999999999</v>
      </c>
      <c r="AC21" s="21">
        <v>0</v>
      </c>
      <c r="AD21" s="21">
        <v>3233205603</v>
      </c>
      <c r="AE21" s="22">
        <v>45536</v>
      </c>
      <c r="AF21" s="21" t="s">
        <v>54</v>
      </c>
      <c r="AG21" s="21" t="s">
        <v>76</v>
      </c>
      <c r="AH21" s="21" t="s">
        <v>77</v>
      </c>
    </row>
    <row r="22" spans="1:34" x14ac:dyDescent="0.25">
      <c r="A22" s="21">
        <v>854111083</v>
      </c>
      <c r="B22" s="21" t="s">
        <v>45</v>
      </c>
      <c r="C22" s="21">
        <v>1</v>
      </c>
      <c r="D22" s="21">
        <v>1000</v>
      </c>
      <c r="E22" s="21">
        <v>0.69</v>
      </c>
      <c r="F22" s="21">
        <v>103</v>
      </c>
      <c r="G22" s="21">
        <v>1</v>
      </c>
      <c r="H22" s="21" t="s">
        <v>56</v>
      </c>
      <c r="I22" s="21">
        <v>0.5</v>
      </c>
      <c r="J22" s="21">
        <v>0.38</v>
      </c>
      <c r="K22" s="21">
        <v>103</v>
      </c>
      <c r="L22" s="21">
        <v>1</v>
      </c>
      <c r="M22" s="21" t="s">
        <v>56</v>
      </c>
      <c r="N22" s="21">
        <v>1</v>
      </c>
      <c r="O22" s="21" t="s">
        <v>94</v>
      </c>
      <c r="P22" s="21">
        <v>0</v>
      </c>
      <c r="Q22" s="21">
        <v>0</v>
      </c>
      <c r="R22" s="21">
        <v>0</v>
      </c>
      <c r="S22" s="21">
        <v>1</v>
      </c>
      <c r="T22" s="21">
        <v>1</v>
      </c>
      <c r="U22" s="21">
        <v>0</v>
      </c>
      <c r="V22" s="21">
        <v>0</v>
      </c>
      <c r="W22" s="21">
        <v>0</v>
      </c>
      <c r="X22" s="21" t="s">
        <v>52</v>
      </c>
      <c r="Y22" s="21" t="s">
        <v>58</v>
      </c>
      <c r="Z22" s="21" t="s">
        <v>58</v>
      </c>
      <c r="AA22" s="21">
        <v>0.3</v>
      </c>
      <c r="AB22" s="21">
        <v>6.3E-2</v>
      </c>
      <c r="AC22" s="21">
        <v>1</v>
      </c>
      <c r="AD22" s="21">
        <v>7253105022</v>
      </c>
      <c r="AE22" s="22">
        <v>46023</v>
      </c>
      <c r="AF22" s="21" t="s">
        <v>54</v>
      </c>
      <c r="AG22" s="21" t="s">
        <v>76</v>
      </c>
      <c r="AH22" s="21" t="s">
        <v>100</v>
      </c>
    </row>
    <row r="23" spans="1:34" x14ac:dyDescent="0.25">
      <c r="A23" s="21">
        <v>85412155</v>
      </c>
      <c r="B23" s="21" t="s">
        <v>45</v>
      </c>
      <c r="C23" s="21">
        <v>3</v>
      </c>
      <c r="D23" s="21">
        <v>1000</v>
      </c>
      <c r="E23" s="21">
        <v>0.68</v>
      </c>
      <c r="F23" s="21">
        <v>121</v>
      </c>
      <c r="G23" s="21">
        <v>1</v>
      </c>
      <c r="H23" s="21" t="s">
        <v>56</v>
      </c>
      <c r="I23" s="21">
        <v>2.2999999999999998</v>
      </c>
      <c r="J23" s="21">
        <v>0.37</v>
      </c>
      <c r="K23" s="21">
        <v>121</v>
      </c>
      <c r="L23" s="21">
        <v>1</v>
      </c>
      <c r="M23" s="21" t="s">
        <v>56</v>
      </c>
      <c r="N23" s="21">
        <v>1.8</v>
      </c>
      <c r="O23" s="21" t="s">
        <v>57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1</v>
      </c>
      <c r="V23" s="21">
        <v>1</v>
      </c>
      <c r="W23" s="21">
        <v>3</v>
      </c>
      <c r="X23" s="21" t="s">
        <v>52</v>
      </c>
      <c r="Y23" s="21" t="s">
        <v>58</v>
      </c>
      <c r="Z23" s="21" t="s">
        <v>58</v>
      </c>
      <c r="AA23" s="21">
        <v>7.2999999999999995E-2</v>
      </c>
      <c r="AB23" s="21">
        <v>0</v>
      </c>
      <c r="AC23" s="21">
        <v>0</v>
      </c>
      <c r="AD23" s="21">
        <v>3201820787</v>
      </c>
      <c r="AE23" s="22" t="s">
        <v>64</v>
      </c>
      <c r="AF23" s="21" t="s">
        <v>65</v>
      </c>
      <c r="AG23" s="21" t="s">
        <v>55</v>
      </c>
      <c r="AH23" s="21" t="s">
        <v>50</v>
      </c>
    </row>
    <row r="24" spans="1:34" x14ac:dyDescent="0.25">
      <c r="A24" s="21">
        <v>85412451</v>
      </c>
      <c r="B24" s="21" t="s">
        <v>45</v>
      </c>
      <c r="C24" s="21">
        <v>5</v>
      </c>
      <c r="D24" s="21">
        <v>1000</v>
      </c>
      <c r="E24" s="21">
        <v>0.77</v>
      </c>
      <c r="F24" s="21">
        <v>104</v>
      </c>
      <c r="G24" s="21">
        <v>1</v>
      </c>
      <c r="H24" s="21">
        <v>134</v>
      </c>
      <c r="I24" s="21">
        <v>1</v>
      </c>
      <c r="J24" s="21">
        <v>0.43</v>
      </c>
      <c r="K24" s="21">
        <v>105</v>
      </c>
      <c r="L24" s="21">
        <v>1</v>
      </c>
      <c r="M24" s="21">
        <v>151</v>
      </c>
      <c r="N24" s="21">
        <v>1</v>
      </c>
      <c r="O24" s="21" t="s">
        <v>90</v>
      </c>
      <c r="P24" s="21">
        <v>1</v>
      </c>
      <c r="Q24" s="21">
        <v>0</v>
      </c>
      <c r="R24" s="21">
        <v>0</v>
      </c>
      <c r="S24" s="21">
        <v>0</v>
      </c>
      <c r="T24" s="21">
        <v>1</v>
      </c>
      <c r="U24" s="21">
        <v>0</v>
      </c>
      <c r="V24" s="21">
        <v>0</v>
      </c>
      <c r="W24" s="21">
        <v>3</v>
      </c>
      <c r="X24" s="21" t="s">
        <v>52</v>
      </c>
      <c r="Y24" s="21" t="s">
        <v>75</v>
      </c>
      <c r="Z24" s="21" t="s">
        <v>72</v>
      </c>
      <c r="AA24" s="21">
        <v>4.5999999999999999E-2</v>
      </c>
      <c r="AB24" s="21">
        <v>0</v>
      </c>
      <c r="AC24" s="21">
        <v>0</v>
      </c>
      <c r="AD24" s="21">
        <v>5201820069</v>
      </c>
      <c r="AE24" s="22">
        <v>43770</v>
      </c>
      <c r="AF24" s="21" t="s">
        <v>65</v>
      </c>
      <c r="AG24" s="21" t="s">
        <v>55</v>
      </c>
      <c r="AH24" s="21" t="s">
        <v>50</v>
      </c>
    </row>
    <row r="25" spans="1:34" x14ac:dyDescent="0.25">
      <c r="A25" s="21">
        <v>854209836</v>
      </c>
      <c r="B25" s="21" t="s">
        <v>45</v>
      </c>
      <c r="C25" s="21">
        <v>1</v>
      </c>
      <c r="D25" s="21">
        <v>1000</v>
      </c>
      <c r="E25" s="21">
        <v>0.77</v>
      </c>
      <c r="F25" s="21">
        <v>103</v>
      </c>
      <c r="G25" s="21">
        <v>1</v>
      </c>
      <c r="H25" s="21" t="s">
        <v>56</v>
      </c>
      <c r="I25" s="21">
        <v>1</v>
      </c>
      <c r="J25" s="21">
        <v>0.43</v>
      </c>
      <c r="K25" s="21">
        <v>103</v>
      </c>
      <c r="L25" s="21">
        <v>1</v>
      </c>
      <c r="M25" s="21" t="s">
        <v>56</v>
      </c>
      <c r="N25" s="21">
        <v>2</v>
      </c>
      <c r="O25" s="21" t="s">
        <v>94</v>
      </c>
      <c r="P25" s="21">
        <v>0</v>
      </c>
      <c r="Q25" s="21">
        <v>0</v>
      </c>
      <c r="R25" s="21">
        <v>1</v>
      </c>
      <c r="S25" s="21">
        <v>12</v>
      </c>
      <c r="T25" s="21">
        <v>1</v>
      </c>
      <c r="U25" s="21">
        <v>0</v>
      </c>
      <c r="V25" s="21">
        <v>0</v>
      </c>
      <c r="W25" s="21">
        <v>3</v>
      </c>
      <c r="X25" s="21" t="s">
        <v>52</v>
      </c>
      <c r="Y25" s="21" t="s">
        <v>68</v>
      </c>
      <c r="Z25" s="21" t="s">
        <v>68</v>
      </c>
      <c r="AA25" s="21">
        <v>0.439</v>
      </c>
      <c r="AB25" s="21">
        <v>5.6000000000000001E-2</v>
      </c>
      <c r="AC25" s="21">
        <v>0</v>
      </c>
      <c r="AD25" s="21">
        <v>7253105018</v>
      </c>
      <c r="AE25" s="22">
        <v>45536</v>
      </c>
      <c r="AF25" s="21" t="s">
        <v>54</v>
      </c>
      <c r="AG25" s="21" t="s">
        <v>76</v>
      </c>
      <c r="AH25" s="21" t="s">
        <v>100</v>
      </c>
    </row>
    <row r="26" spans="1:34" x14ac:dyDescent="0.25">
      <c r="A26" s="21">
        <v>854248434</v>
      </c>
      <c r="B26" s="21" t="s">
        <v>45</v>
      </c>
      <c r="C26" s="21">
        <v>1</v>
      </c>
      <c r="D26" s="21">
        <v>1000</v>
      </c>
      <c r="E26" s="21">
        <v>0.56999999999999995</v>
      </c>
      <c r="F26" s="21">
        <v>103</v>
      </c>
      <c r="G26" s="21">
        <v>1</v>
      </c>
      <c r="H26" s="21" t="s">
        <v>56</v>
      </c>
      <c r="I26" s="21">
        <v>0.9</v>
      </c>
      <c r="J26" s="21">
        <v>0.33</v>
      </c>
      <c r="K26" s="21">
        <v>103</v>
      </c>
      <c r="L26" s="21">
        <v>1</v>
      </c>
      <c r="M26" s="21" t="s">
        <v>56</v>
      </c>
      <c r="N26" s="21">
        <v>1.9</v>
      </c>
      <c r="O26" s="21" t="s">
        <v>67</v>
      </c>
      <c r="P26" s="21">
        <v>0</v>
      </c>
      <c r="Q26" s="21">
        <v>0</v>
      </c>
      <c r="R26" s="21">
        <v>1</v>
      </c>
      <c r="S26" s="21">
        <v>12</v>
      </c>
      <c r="T26" s="21">
        <v>1</v>
      </c>
      <c r="U26" s="21">
        <v>0</v>
      </c>
      <c r="V26" s="21">
        <v>0</v>
      </c>
      <c r="W26" s="21">
        <v>1</v>
      </c>
      <c r="X26" s="21" t="s">
        <v>52</v>
      </c>
      <c r="Y26" s="21" t="s">
        <v>53</v>
      </c>
      <c r="Z26" s="21" t="s">
        <v>53</v>
      </c>
      <c r="AA26" s="21">
        <v>0.182</v>
      </c>
      <c r="AB26" s="21">
        <v>0.185</v>
      </c>
      <c r="AC26" s="21">
        <v>0</v>
      </c>
      <c r="AD26" s="21">
        <v>7253075019</v>
      </c>
      <c r="AE26" s="22">
        <v>45536</v>
      </c>
      <c r="AF26" s="21" t="s">
        <v>54</v>
      </c>
      <c r="AG26" s="21" t="s">
        <v>76</v>
      </c>
      <c r="AH26" s="21" t="s">
        <v>100</v>
      </c>
    </row>
    <row r="27" spans="1:34" x14ac:dyDescent="0.25">
      <c r="A27" s="21">
        <v>854892505</v>
      </c>
      <c r="B27" s="21" t="s">
        <v>45</v>
      </c>
      <c r="C27" s="21">
        <v>1</v>
      </c>
      <c r="D27" s="21">
        <v>1000</v>
      </c>
      <c r="E27" s="21">
        <v>0.22</v>
      </c>
      <c r="F27" s="21">
        <v>103</v>
      </c>
      <c r="G27" s="21">
        <v>1</v>
      </c>
      <c r="H27" s="21" t="s">
        <v>56</v>
      </c>
      <c r="I27" s="21">
        <v>3.2</v>
      </c>
      <c r="J27" s="21">
        <v>0.21</v>
      </c>
      <c r="K27" s="21">
        <v>103</v>
      </c>
      <c r="L27" s="21">
        <v>1</v>
      </c>
      <c r="M27" s="21" t="s">
        <v>56</v>
      </c>
      <c r="N27" s="21">
        <v>4.0999999999999996</v>
      </c>
      <c r="O27" s="21" t="s">
        <v>94</v>
      </c>
      <c r="P27" s="21">
        <v>0</v>
      </c>
      <c r="Q27" s="21">
        <v>0</v>
      </c>
      <c r="R27" s="21">
        <v>1</v>
      </c>
      <c r="S27" s="21">
        <v>12</v>
      </c>
      <c r="T27" s="21">
        <v>1</v>
      </c>
      <c r="U27" s="21">
        <v>0</v>
      </c>
      <c r="V27" s="21">
        <v>0</v>
      </c>
      <c r="W27" s="21">
        <v>1</v>
      </c>
      <c r="X27" s="21" t="s">
        <v>52</v>
      </c>
      <c r="Y27" s="21" t="s">
        <v>63</v>
      </c>
      <c r="Z27" s="21" t="s">
        <v>63</v>
      </c>
      <c r="AA27" s="21">
        <v>0.47299999999999998</v>
      </c>
      <c r="AB27" s="21">
        <v>5.1999999999999998E-2</v>
      </c>
      <c r="AC27" s="21">
        <v>0</v>
      </c>
      <c r="AD27" s="21">
        <v>3221885041</v>
      </c>
      <c r="AE27" s="22">
        <v>45536</v>
      </c>
      <c r="AF27" s="21" t="s">
        <v>54</v>
      </c>
      <c r="AG27" s="21" t="s">
        <v>95</v>
      </c>
      <c r="AH27" s="21" t="s">
        <v>96</v>
      </c>
    </row>
    <row r="28" spans="1:34" x14ac:dyDescent="0.25">
      <c r="A28" s="21">
        <v>85497856</v>
      </c>
      <c r="B28" s="21" t="s">
        <v>45</v>
      </c>
      <c r="C28" s="21">
        <v>1</v>
      </c>
      <c r="D28" s="21">
        <v>1000</v>
      </c>
      <c r="E28" s="21">
        <v>0.76</v>
      </c>
      <c r="F28" s="21">
        <v>103</v>
      </c>
      <c r="G28" s="21">
        <v>1</v>
      </c>
      <c r="H28" s="21" t="s">
        <v>56</v>
      </c>
      <c r="I28" s="21">
        <v>1</v>
      </c>
      <c r="J28" s="21">
        <v>0.38</v>
      </c>
      <c r="K28" s="21">
        <v>103</v>
      </c>
      <c r="L28" s="21">
        <v>1</v>
      </c>
      <c r="M28" s="21" t="s">
        <v>56</v>
      </c>
      <c r="N28" s="21">
        <v>2.6</v>
      </c>
      <c r="O28" s="21" t="s">
        <v>88</v>
      </c>
      <c r="P28" s="21">
        <v>0</v>
      </c>
      <c r="Q28" s="21">
        <v>0</v>
      </c>
      <c r="R28" s="21">
        <v>1</v>
      </c>
      <c r="S28" s="21">
        <v>12</v>
      </c>
      <c r="T28" s="21">
        <v>1</v>
      </c>
      <c r="U28" s="21">
        <v>0</v>
      </c>
      <c r="V28" s="21">
        <v>0</v>
      </c>
      <c r="W28" s="21">
        <v>3</v>
      </c>
      <c r="X28" s="21" t="s">
        <v>52</v>
      </c>
      <c r="Y28" s="21" t="s">
        <v>58</v>
      </c>
      <c r="Z28" s="21" t="s">
        <v>58</v>
      </c>
      <c r="AA28" s="21">
        <v>0.155</v>
      </c>
      <c r="AB28" s="21">
        <v>0</v>
      </c>
      <c r="AC28" s="21">
        <v>0</v>
      </c>
      <c r="AD28" s="21">
        <v>5190851147</v>
      </c>
      <c r="AE28" s="22">
        <v>45566</v>
      </c>
      <c r="AF28" s="21" t="s">
        <v>65</v>
      </c>
      <c r="AG28" s="21" t="s">
        <v>55</v>
      </c>
      <c r="AH28" s="21" t="s">
        <v>50</v>
      </c>
    </row>
    <row r="29" spans="1:34" x14ac:dyDescent="0.25">
      <c r="A29" s="21">
        <v>85497861</v>
      </c>
      <c r="B29" s="21" t="s">
        <v>45</v>
      </c>
      <c r="C29" s="21">
        <v>1</v>
      </c>
      <c r="D29" s="21">
        <v>1000</v>
      </c>
      <c r="E29" s="21">
        <v>0.6</v>
      </c>
      <c r="F29" s="21">
        <v>103</v>
      </c>
      <c r="G29" s="21">
        <v>1</v>
      </c>
      <c r="H29" s="21" t="s">
        <v>56</v>
      </c>
      <c r="I29" s="21">
        <v>1.1000000000000001</v>
      </c>
      <c r="J29" s="21">
        <v>0.3</v>
      </c>
      <c r="K29" s="21">
        <v>103</v>
      </c>
      <c r="L29" s="21">
        <v>1</v>
      </c>
      <c r="M29" s="21" t="s">
        <v>56</v>
      </c>
      <c r="N29" s="21">
        <v>3</v>
      </c>
      <c r="O29" s="21" t="s">
        <v>66</v>
      </c>
      <c r="P29" s="21">
        <v>0</v>
      </c>
      <c r="Q29" s="21">
        <v>0</v>
      </c>
      <c r="R29" s="21">
        <v>1</v>
      </c>
      <c r="S29" s="21">
        <v>12</v>
      </c>
      <c r="T29" s="21">
        <v>1</v>
      </c>
      <c r="U29" s="21">
        <v>0</v>
      </c>
      <c r="V29" s="21">
        <v>0</v>
      </c>
      <c r="W29" s="21">
        <v>3</v>
      </c>
      <c r="X29" s="21" t="s">
        <v>52</v>
      </c>
      <c r="Y29" s="21" t="s">
        <v>68</v>
      </c>
      <c r="Z29" s="21" t="s">
        <v>68</v>
      </c>
      <c r="AA29" s="21">
        <v>5.1999999999999998E-2</v>
      </c>
      <c r="AB29" s="21">
        <v>0</v>
      </c>
      <c r="AC29" s="21">
        <v>0</v>
      </c>
      <c r="AD29" s="21">
        <v>3201820775</v>
      </c>
      <c r="AE29" s="22">
        <v>45566</v>
      </c>
      <c r="AF29" s="21" t="s">
        <v>65</v>
      </c>
      <c r="AG29" s="21" t="s">
        <v>55</v>
      </c>
      <c r="AH29" s="21" t="s">
        <v>50</v>
      </c>
    </row>
    <row r="30" spans="1:34" x14ac:dyDescent="0.25">
      <c r="A30" s="21">
        <v>85497991</v>
      </c>
      <c r="B30" s="21" t="s">
        <v>45</v>
      </c>
      <c r="C30" s="21">
        <v>4</v>
      </c>
      <c r="D30" s="21">
        <v>1000</v>
      </c>
      <c r="E30" s="21">
        <v>0.4</v>
      </c>
      <c r="F30" s="21">
        <v>103</v>
      </c>
      <c r="G30" s="21">
        <v>1</v>
      </c>
      <c r="H30" s="21" t="s">
        <v>56</v>
      </c>
      <c r="I30" s="21">
        <v>1</v>
      </c>
      <c r="J30" s="21">
        <v>0.28000000000000003</v>
      </c>
      <c r="K30" s="21">
        <v>103</v>
      </c>
      <c r="L30" s="21">
        <v>1</v>
      </c>
      <c r="M30" s="21" t="s">
        <v>56</v>
      </c>
      <c r="N30" s="21">
        <v>1.6</v>
      </c>
      <c r="O30" s="21" t="s">
        <v>57</v>
      </c>
      <c r="P30" s="21">
        <v>0</v>
      </c>
      <c r="Q30" s="21">
        <v>0</v>
      </c>
      <c r="R30" s="21">
        <v>0</v>
      </c>
      <c r="S30" s="21">
        <v>0</v>
      </c>
      <c r="T30" s="21">
        <v>1</v>
      </c>
      <c r="U30" s="21">
        <v>0</v>
      </c>
      <c r="V30" s="21">
        <v>0</v>
      </c>
      <c r="W30" s="21">
        <v>1</v>
      </c>
      <c r="X30" s="21" t="s">
        <v>46</v>
      </c>
      <c r="Y30" s="21" t="s">
        <v>63</v>
      </c>
      <c r="Z30" s="21" t="s">
        <v>63</v>
      </c>
      <c r="AA30" s="21">
        <v>0.24399999999999999</v>
      </c>
      <c r="AB30" s="21">
        <v>0</v>
      </c>
      <c r="AC30" s="21">
        <v>0</v>
      </c>
      <c r="AD30" s="21">
        <v>3220117021</v>
      </c>
      <c r="AE30" s="22">
        <v>44958</v>
      </c>
      <c r="AF30" s="21" t="s">
        <v>54</v>
      </c>
      <c r="AG30" s="21" t="s">
        <v>55</v>
      </c>
      <c r="AH30" s="21" t="s">
        <v>50</v>
      </c>
    </row>
    <row r="31" spans="1:34" x14ac:dyDescent="0.25">
      <c r="A31" s="21">
        <v>85516161</v>
      </c>
      <c r="B31" s="21" t="s">
        <v>45</v>
      </c>
      <c r="C31" s="21">
        <v>1</v>
      </c>
      <c r="D31" s="21">
        <v>1000</v>
      </c>
      <c r="E31" s="21">
        <v>0.54</v>
      </c>
      <c r="F31" s="21">
        <v>103</v>
      </c>
      <c r="G31" s="21">
        <v>1</v>
      </c>
      <c r="H31" s="21" t="s">
        <v>56</v>
      </c>
      <c r="I31" s="21">
        <v>2.5</v>
      </c>
      <c r="J31" s="21">
        <v>0.38</v>
      </c>
      <c r="K31" s="21">
        <v>103</v>
      </c>
      <c r="L31" s="21">
        <v>1</v>
      </c>
      <c r="M31" s="21" t="s">
        <v>56</v>
      </c>
      <c r="N31" s="21">
        <v>3.5</v>
      </c>
      <c r="O31" s="21" t="s">
        <v>59</v>
      </c>
      <c r="P31" s="21">
        <v>0</v>
      </c>
      <c r="Q31" s="21">
        <v>0</v>
      </c>
      <c r="R31" s="21">
        <v>1</v>
      </c>
      <c r="S31" s="21">
        <v>12</v>
      </c>
      <c r="T31" s="21">
        <v>1</v>
      </c>
      <c r="U31" s="21">
        <v>0</v>
      </c>
      <c r="V31" s="21">
        <v>0</v>
      </c>
      <c r="W31" s="21">
        <v>3</v>
      </c>
      <c r="X31" s="21" t="s">
        <v>52</v>
      </c>
      <c r="Y31" s="21" t="s">
        <v>75</v>
      </c>
      <c r="Z31" s="21" t="s">
        <v>75</v>
      </c>
      <c r="AA31" s="21">
        <v>0.124</v>
      </c>
      <c r="AB31" s="21">
        <v>4.7E-2</v>
      </c>
      <c r="AC31" s="21">
        <v>0</v>
      </c>
      <c r="AD31" s="21">
        <v>5210697056</v>
      </c>
      <c r="AE31" s="22">
        <v>45536</v>
      </c>
      <c r="AF31" s="21" t="s">
        <v>54</v>
      </c>
      <c r="AG31" s="21" t="s">
        <v>55</v>
      </c>
      <c r="AH31" s="21" t="s">
        <v>50</v>
      </c>
    </row>
    <row r="32" spans="1:34" x14ac:dyDescent="0.25">
      <c r="A32" s="21">
        <v>85516200</v>
      </c>
      <c r="B32" s="21" t="s">
        <v>45</v>
      </c>
      <c r="C32" s="21">
        <v>1</v>
      </c>
      <c r="D32" s="21">
        <v>500</v>
      </c>
      <c r="E32" s="21">
        <v>0.94</v>
      </c>
      <c r="F32" s="21" t="s">
        <v>56</v>
      </c>
      <c r="G32" s="21">
        <v>0.5</v>
      </c>
      <c r="H32" s="21" t="s">
        <v>56</v>
      </c>
      <c r="I32" s="21">
        <v>0.5</v>
      </c>
      <c r="J32" s="21">
        <v>0.6</v>
      </c>
      <c r="K32" s="21" t="s">
        <v>56</v>
      </c>
      <c r="L32" s="21">
        <v>0.9</v>
      </c>
      <c r="M32" s="21" t="s">
        <v>56</v>
      </c>
      <c r="N32" s="21">
        <v>0.9</v>
      </c>
      <c r="O32" s="21" t="s">
        <v>82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3</v>
      </c>
      <c r="X32" s="21" t="s">
        <v>52</v>
      </c>
      <c r="Y32" s="21" t="s">
        <v>75</v>
      </c>
      <c r="Z32" s="21" t="s">
        <v>75</v>
      </c>
      <c r="AA32" s="21">
        <v>0.64500000000000002</v>
      </c>
      <c r="AB32" s="21">
        <v>4.1000000000000002E-2</v>
      </c>
      <c r="AC32" s="21">
        <v>0</v>
      </c>
      <c r="AD32" s="21">
        <v>5230887036</v>
      </c>
      <c r="AE32" s="22" t="s">
        <v>69</v>
      </c>
      <c r="AF32" s="21" t="s">
        <v>54</v>
      </c>
      <c r="AG32" s="21" t="s">
        <v>70</v>
      </c>
      <c r="AH32" s="21" t="s">
        <v>71</v>
      </c>
    </row>
    <row r="33" spans="1:34" x14ac:dyDescent="0.25">
      <c r="A33" s="21">
        <v>855914437</v>
      </c>
      <c r="B33" s="21" t="s">
        <v>45</v>
      </c>
      <c r="C33" s="21">
        <v>1</v>
      </c>
      <c r="D33" s="21">
        <v>1000</v>
      </c>
      <c r="E33" s="21">
        <v>0.4</v>
      </c>
      <c r="F33" s="21">
        <v>103</v>
      </c>
      <c r="G33" s="21">
        <v>1</v>
      </c>
      <c r="H33" s="21" t="s">
        <v>56</v>
      </c>
      <c r="I33" s="21">
        <v>0.8</v>
      </c>
      <c r="J33" s="21">
        <v>0.25</v>
      </c>
      <c r="K33" s="21">
        <v>103</v>
      </c>
      <c r="L33" s="21">
        <v>1</v>
      </c>
      <c r="M33" s="21" t="s">
        <v>56</v>
      </c>
      <c r="N33" s="21">
        <v>1</v>
      </c>
      <c r="O33" s="21" t="s">
        <v>94</v>
      </c>
      <c r="P33" s="21">
        <v>0</v>
      </c>
      <c r="Q33" s="21">
        <v>0</v>
      </c>
      <c r="R33" s="21">
        <v>1</v>
      </c>
      <c r="S33" s="21">
        <v>12</v>
      </c>
      <c r="T33" s="21">
        <v>0</v>
      </c>
      <c r="U33" s="21">
        <v>1</v>
      </c>
      <c r="V33" s="21">
        <v>3</v>
      </c>
      <c r="W33" s="21">
        <v>3</v>
      </c>
      <c r="X33" s="21" t="s">
        <v>52</v>
      </c>
      <c r="Y33" s="21" t="s">
        <v>53</v>
      </c>
      <c r="Z33" s="21" t="s">
        <v>53</v>
      </c>
      <c r="AA33" s="21">
        <v>0.14299999999999999</v>
      </c>
      <c r="AB33" s="21">
        <v>0.157</v>
      </c>
      <c r="AC33" s="21">
        <v>0</v>
      </c>
      <c r="AD33" s="21">
        <v>3203447055</v>
      </c>
      <c r="AE33" s="22">
        <v>45536</v>
      </c>
      <c r="AF33" s="21" t="s">
        <v>73</v>
      </c>
      <c r="AG33" s="21" t="s">
        <v>95</v>
      </c>
      <c r="AH33" s="21" t="s">
        <v>101</v>
      </c>
    </row>
    <row r="34" spans="1:34" x14ac:dyDescent="0.25">
      <c r="A34" s="21">
        <v>857468942</v>
      </c>
      <c r="B34" s="21" t="s">
        <v>45</v>
      </c>
      <c r="C34" s="21">
        <v>1</v>
      </c>
      <c r="D34" s="21">
        <v>1000</v>
      </c>
      <c r="E34" s="21">
        <v>0.4</v>
      </c>
      <c r="F34" s="21">
        <v>103</v>
      </c>
      <c r="G34" s="21">
        <v>1</v>
      </c>
      <c r="H34" s="21" t="s">
        <v>56</v>
      </c>
      <c r="I34" s="21">
        <v>0.8</v>
      </c>
      <c r="J34" s="21">
        <v>0.28000000000000003</v>
      </c>
      <c r="K34" s="21">
        <v>103</v>
      </c>
      <c r="L34" s="21">
        <v>1</v>
      </c>
      <c r="M34" s="21" t="s">
        <v>56</v>
      </c>
      <c r="N34" s="21">
        <v>1.6</v>
      </c>
      <c r="O34" s="21" t="s">
        <v>67</v>
      </c>
      <c r="P34" s="21">
        <v>0</v>
      </c>
      <c r="Q34" s="21">
        <v>0</v>
      </c>
      <c r="R34" s="21">
        <v>1</v>
      </c>
      <c r="S34" s="21">
        <v>12</v>
      </c>
      <c r="T34" s="21">
        <v>1</v>
      </c>
      <c r="U34" s="21">
        <v>0</v>
      </c>
      <c r="V34" s="21">
        <v>0</v>
      </c>
      <c r="W34" s="21">
        <v>1</v>
      </c>
      <c r="X34" s="21" t="s">
        <v>52</v>
      </c>
      <c r="Y34" s="21" t="s">
        <v>47</v>
      </c>
      <c r="Z34" s="21" t="s">
        <v>47</v>
      </c>
      <c r="AA34" s="21">
        <v>3.6999999999999998E-2</v>
      </c>
      <c r="AB34" s="21">
        <v>3.2000000000000001E-2</v>
      </c>
      <c r="AC34" s="21">
        <v>0</v>
      </c>
      <c r="AD34" s="21">
        <v>7253455036</v>
      </c>
      <c r="AE34" s="22">
        <v>45536</v>
      </c>
      <c r="AF34" s="21" t="s">
        <v>54</v>
      </c>
      <c r="AG34" s="21" t="s">
        <v>76</v>
      </c>
      <c r="AH34" s="21" t="s">
        <v>100</v>
      </c>
    </row>
    <row r="35" spans="1:34" x14ac:dyDescent="0.25">
      <c r="A35" s="21">
        <v>857585113</v>
      </c>
      <c r="B35" s="21" t="s">
        <v>45</v>
      </c>
      <c r="C35" s="21">
        <v>8</v>
      </c>
      <c r="D35" s="21">
        <v>1000</v>
      </c>
      <c r="E35" s="21">
        <v>0.64</v>
      </c>
      <c r="F35" s="21">
        <v>104</v>
      </c>
      <c r="G35" s="21">
        <v>1</v>
      </c>
      <c r="H35" s="21">
        <v>134</v>
      </c>
      <c r="I35" s="21">
        <v>1</v>
      </c>
      <c r="J35" s="21">
        <v>0.43</v>
      </c>
      <c r="K35" s="21">
        <v>105</v>
      </c>
      <c r="L35" s="21">
        <v>1</v>
      </c>
      <c r="M35" s="21">
        <v>151</v>
      </c>
      <c r="N35" s="21">
        <v>1</v>
      </c>
      <c r="O35" s="21" t="s">
        <v>67</v>
      </c>
      <c r="P35" s="21">
        <v>0</v>
      </c>
      <c r="Q35" s="21">
        <v>2</v>
      </c>
      <c r="R35" s="21">
        <v>1</v>
      </c>
      <c r="S35" s="21">
        <v>12</v>
      </c>
      <c r="T35" s="21">
        <v>1</v>
      </c>
      <c r="U35" s="21">
        <v>0</v>
      </c>
      <c r="V35" s="21">
        <v>0</v>
      </c>
      <c r="W35" s="21">
        <v>1</v>
      </c>
      <c r="X35" s="21" t="s">
        <v>52</v>
      </c>
      <c r="Y35" s="21" t="s">
        <v>53</v>
      </c>
      <c r="Z35" s="21" t="s">
        <v>53</v>
      </c>
      <c r="AA35" s="21">
        <v>0.115</v>
      </c>
      <c r="AB35" s="21">
        <v>6.3E-2</v>
      </c>
      <c r="AC35" s="21">
        <v>0</v>
      </c>
      <c r="AD35" s="21">
        <v>7253455039</v>
      </c>
      <c r="AE35" s="22">
        <v>45536</v>
      </c>
      <c r="AF35" s="21" t="s">
        <v>54</v>
      </c>
      <c r="AG35" s="21" t="s">
        <v>76</v>
      </c>
      <c r="AH35" s="21" t="s">
        <v>100</v>
      </c>
    </row>
    <row r="36" spans="1:34" x14ac:dyDescent="0.25">
      <c r="A36" s="21">
        <v>858495132</v>
      </c>
      <c r="B36" s="21" t="s">
        <v>45</v>
      </c>
      <c r="C36" s="21">
        <v>1</v>
      </c>
      <c r="D36" s="21">
        <v>1000</v>
      </c>
      <c r="E36" s="21">
        <v>0.77</v>
      </c>
      <c r="F36" s="21">
        <v>103</v>
      </c>
      <c r="G36" s="21">
        <v>1</v>
      </c>
      <c r="H36" s="21" t="s">
        <v>56</v>
      </c>
      <c r="I36" s="21">
        <v>0.6</v>
      </c>
      <c r="J36" s="21">
        <v>0.44</v>
      </c>
      <c r="K36" s="21">
        <v>103</v>
      </c>
      <c r="L36" s="21">
        <v>1</v>
      </c>
      <c r="M36" s="21" t="s">
        <v>56</v>
      </c>
      <c r="N36" s="21">
        <v>1.2</v>
      </c>
      <c r="O36" s="21" t="s">
        <v>98</v>
      </c>
      <c r="P36" s="21">
        <v>0</v>
      </c>
      <c r="Q36" s="21">
        <v>0</v>
      </c>
      <c r="R36" s="21">
        <v>1</v>
      </c>
      <c r="S36" s="21">
        <v>12</v>
      </c>
      <c r="T36" s="21">
        <v>1</v>
      </c>
      <c r="U36" s="21">
        <v>0</v>
      </c>
      <c r="V36" s="21">
        <v>0</v>
      </c>
      <c r="W36" s="21">
        <v>1</v>
      </c>
      <c r="X36" s="21" t="s">
        <v>52</v>
      </c>
      <c r="Y36" s="21" t="s">
        <v>75</v>
      </c>
      <c r="Z36" s="21" t="s">
        <v>75</v>
      </c>
      <c r="AA36" s="21">
        <v>9.0999999999999998E-2</v>
      </c>
      <c r="AB36" s="21">
        <v>4.2000000000000003E-2</v>
      </c>
      <c r="AC36" s="21">
        <v>0</v>
      </c>
      <c r="AD36" s="21">
        <v>7253455041</v>
      </c>
      <c r="AE36" s="22">
        <v>45536</v>
      </c>
      <c r="AF36" s="21" t="s">
        <v>54</v>
      </c>
      <c r="AG36" s="21" t="s">
        <v>76</v>
      </c>
      <c r="AH36" s="21" t="s">
        <v>100</v>
      </c>
    </row>
    <row r="37" spans="1:34" x14ac:dyDescent="0.25">
      <c r="A37" s="21">
        <v>861917446</v>
      </c>
      <c r="B37" s="21" t="s">
        <v>45</v>
      </c>
      <c r="C37" s="21">
        <v>1</v>
      </c>
      <c r="D37" s="21">
        <v>1000</v>
      </c>
      <c r="E37" s="21">
        <v>0.64</v>
      </c>
      <c r="F37" s="21">
        <v>103</v>
      </c>
      <c r="G37" s="21">
        <v>1</v>
      </c>
      <c r="H37" s="21" t="s">
        <v>56</v>
      </c>
      <c r="I37" s="21">
        <v>1.3</v>
      </c>
      <c r="J37" s="21">
        <v>0.43</v>
      </c>
      <c r="K37" s="21">
        <v>103</v>
      </c>
      <c r="L37" s="21">
        <v>1</v>
      </c>
      <c r="M37" s="21" t="s">
        <v>56</v>
      </c>
      <c r="N37" s="21">
        <v>2.5</v>
      </c>
      <c r="O37" s="21" t="s">
        <v>67</v>
      </c>
      <c r="P37" s="21">
        <v>0</v>
      </c>
      <c r="Q37" s="21">
        <v>0</v>
      </c>
      <c r="R37" s="21">
        <v>1</v>
      </c>
      <c r="S37" s="21">
        <v>12</v>
      </c>
      <c r="T37" s="21">
        <v>1</v>
      </c>
      <c r="U37" s="21">
        <v>0</v>
      </c>
      <c r="V37" s="21">
        <v>0</v>
      </c>
      <c r="W37" s="21">
        <v>1</v>
      </c>
      <c r="X37" s="21" t="s">
        <v>52</v>
      </c>
      <c r="Y37" s="21" t="s">
        <v>58</v>
      </c>
      <c r="Z37" s="21" t="s">
        <v>58</v>
      </c>
      <c r="AA37" s="21">
        <v>0.115</v>
      </c>
      <c r="AB37" s="21">
        <v>9.7000000000000003E-2</v>
      </c>
      <c r="AC37" s="21">
        <v>0</v>
      </c>
      <c r="AD37" s="21">
        <v>7253465006</v>
      </c>
      <c r="AE37" s="22">
        <v>45536</v>
      </c>
      <c r="AF37" s="21" t="s">
        <v>54</v>
      </c>
      <c r="AG37" s="21" t="s">
        <v>76</v>
      </c>
      <c r="AH37" s="21" t="s">
        <v>100</v>
      </c>
    </row>
    <row r="38" spans="1:34" x14ac:dyDescent="0.25">
      <c r="A38" s="21">
        <v>863231413</v>
      </c>
      <c r="B38" s="21" t="s">
        <v>45</v>
      </c>
      <c r="C38" s="21">
        <v>1</v>
      </c>
      <c r="D38" s="21">
        <v>1000</v>
      </c>
      <c r="E38" s="21">
        <v>0.56999999999999995</v>
      </c>
      <c r="F38" s="21">
        <v>103</v>
      </c>
      <c r="G38" s="21">
        <v>1</v>
      </c>
      <c r="H38" s="21" t="s">
        <v>56</v>
      </c>
      <c r="I38" s="21">
        <v>0.5</v>
      </c>
      <c r="J38" s="21">
        <v>0.36</v>
      </c>
      <c r="K38" s="21">
        <v>103</v>
      </c>
      <c r="L38" s="21">
        <v>1</v>
      </c>
      <c r="M38" s="21" t="s">
        <v>56</v>
      </c>
      <c r="N38" s="21">
        <v>1.3</v>
      </c>
      <c r="O38" s="21" t="s">
        <v>98</v>
      </c>
      <c r="P38" s="21">
        <v>0</v>
      </c>
      <c r="Q38" s="21">
        <v>0</v>
      </c>
      <c r="R38" s="21">
        <v>1</v>
      </c>
      <c r="S38" s="21">
        <v>12</v>
      </c>
      <c r="T38" s="21">
        <v>1</v>
      </c>
      <c r="U38" s="21">
        <v>0</v>
      </c>
      <c r="V38" s="21">
        <v>0</v>
      </c>
      <c r="W38" s="21">
        <v>3</v>
      </c>
      <c r="X38" s="21" t="s">
        <v>52</v>
      </c>
      <c r="Y38" s="21" t="s">
        <v>53</v>
      </c>
      <c r="Z38" s="21" t="s">
        <v>53</v>
      </c>
      <c r="AA38" s="21">
        <v>4.1000000000000002E-2</v>
      </c>
      <c r="AB38" s="21">
        <v>5.1999999999999998E-2</v>
      </c>
      <c r="AC38" s="21">
        <v>0</v>
      </c>
      <c r="AD38" s="21">
        <v>7253085028</v>
      </c>
      <c r="AE38" s="22">
        <v>45536</v>
      </c>
      <c r="AF38" s="21" t="s">
        <v>54</v>
      </c>
      <c r="AG38" s="21" t="s">
        <v>76</v>
      </c>
      <c r="AH38" s="21" t="s">
        <v>100</v>
      </c>
    </row>
    <row r="39" spans="1:34" x14ac:dyDescent="0.25">
      <c r="A39" s="21">
        <v>86332392</v>
      </c>
      <c r="B39" s="21" t="s">
        <v>45</v>
      </c>
      <c r="C39" s="21">
        <v>1</v>
      </c>
      <c r="D39" s="21">
        <v>1000</v>
      </c>
      <c r="E39" s="21">
        <v>0.54</v>
      </c>
      <c r="F39" s="21">
        <v>104</v>
      </c>
      <c r="G39" s="21">
        <v>1</v>
      </c>
      <c r="H39" s="21" t="s">
        <v>51</v>
      </c>
      <c r="I39" s="21">
        <v>1.2</v>
      </c>
      <c r="J39" s="21">
        <v>0.34</v>
      </c>
      <c r="K39" s="21">
        <v>104</v>
      </c>
      <c r="L39" s="21">
        <v>1</v>
      </c>
      <c r="M39" s="21" t="s">
        <v>51</v>
      </c>
      <c r="N39" s="21">
        <v>1.4</v>
      </c>
      <c r="O39" s="21" t="s">
        <v>97</v>
      </c>
      <c r="P39" s="21">
        <v>0</v>
      </c>
      <c r="Q39" s="21">
        <v>0</v>
      </c>
      <c r="R39" s="21">
        <v>1</v>
      </c>
      <c r="S39" s="21">
        <v>12</v>
      </c>
      <c r="T39" s="21">
        <v>1</v>
      </c>
      <c r="U39" s="21">
        <v>0</v>
      </c>
      <c r="V39" s="21">
        <v>0</v>
      </c>
      <c r="W39" s="21">
        <v>1</v>
      </c>
      <c r="X39" s="21" t="s">
        <v>46</v>
      </c>
      <c r="Y39" s="21" t="s">
        <v>47</v>
      </c>
      <c r="Z39" s="21" t="s">
        <v>47</v>
      </c>
      <c r="AA39" s="21">
        <v>0.16700000000000001</v>
      </c>
      <c r="AB39" s="21">
        <v>0</v>
      </c>
      <c r="AC39" s="21">
        <v>0</v>
      </c>
      <c r="AD39" s="21">
        <v>3171311338</v>
      </c>
      <c r="AE39" s="22">
        <v>45536</v>
      </c>
      <c r="AF39" s="21" t="s">
        <v>73</v>
      </c>
      <c r="AG39" s="21" t="s">
        <v>49</v>
      </c>
      <c r="AH39" s="21" t="s">
        <v>50</v>
      </c>
    </row>
    <row r="40" spans="1:34" x14ac:dyDescent="0.25">
      <c r="A40" s="21">
        <v>86353664</v>
      </c>
      <c r="B40" s="21" t="s">
        <v>45</v>
      </c>
      <c r="C40" s="21">
        <v>1</v>
      </c>
      <c r="D40" s="21">
        <v>1000</v>
      </c>
      <c r="E40" s="21">
        <v>0.54</v>
      </c>
      <c r="F40" s="21">
        <v>103</v>
      </c>
      <c r="G40" s="21">
        <v>1</v>
      </c>
      <c r="H40" s="21" t="s">
        <v>51</v>
      </c>
      <c r="I40" s="21">
        <v>1.2</v>
      </c>
      <c r="J40" s="21">
        <v>0.34</v>
      </c>
      <c r="K40" s="21">
        <v>103</v>
      </c>
      <c r="L40" s="21">
        <v>1</v>
      </c>
      <c r="M40" s="21" t="s">
        <v>51</v>
      </c>
      <c r="N40" s="21">
        <v>1.4</v>
      </c>
      <c r="O40" s="21" t="s">
        <v>90</v>
      </c>
      <c r="P40" s="21">
        <v>0</v>
      </c>
      <c r="Q40" s="21">
        <v>0</v>
      </c>
      <c r="R40" s="21">
        <v>1</v>
      </c>
      <c r="S40" s="21">
        <v>12</v>
      </c>
      <c r="T40" s="21">
        <v>1</v>
      </c>
      <c r="U40" s="21">
        <v>0</v>
      </c>
      <c r="V40" s="21">
        <v>0</v>
      </c>
      <c r="W40" s="21">
        <v>1</v>
      </c>
      <c r="X40" s="21" t="s">
        <v>52</v>
      </c>
      <c r="Y40" s="21" t="s">
        <v>75</v>
      </c>
      <c r="Z40" s="21" t="s">
        <v>75</v>
      </c>
      <c r="AA40" s="21">
        <v>9.1999999999999998E-2</v>
      </c>
      <c r="AB40" s="21">
        <v>8.5000000000000006E-2</v>
      </c>
      <c r="AC40" s="21">
        <v>0</v>
      </c>
      <c r="AD40" s="21">
        <v>3220287169</v>
      </c>
      <c r="AE40" s="22">
        <v>45536</v>
      </c>
      <c r="AF40" s="21" t="s">
        <v>54</v>
      </c>
      <c r="AG40" s="21" t="s">
        <v>55</v>
      </c>
      <c r="AH40" s="21" t="s">
        <v>50</v>
      </c>
    </row>
    <row r="41" spans="1:34" x14ac:dyDescent="0.25">
      <c r="A41" s="21">
        <v>863609299</v>
      </c>
      <c r="B41" s="21" t="s">
        <v>45</v>
      </c>
      <c r="C41" s="21">
        <v>1</v>
      </c>
      <c r="D41" s="21">
        <v>1000</v>
      </c>
      <c r="E41" s="21">
        <v>0.69</v>
      </c>
      <c r="F41" s="21">
        <v>103</v>
      </c>
      <c r="G41" s="21">
        <v>1</v>
      </c>
      <c r="H41" s="21" t="s">
        <v>56</v>
      </c>
      <c r="I41" s="21">
        <v>1</v>
      </c>
      <c r="J41" s="21">
        <v>0.39</v>
      </c>
      <c r="K41" s="21">
        <v>103</v>
      </c>
      <c r="L41" s="21">
        <v>1</v>
      </c>
      <c r="M41" s="21" t="s">
        <v>56</v>
      </c>
      <c r="N41" s="21">
        <v>1.8</v>
      </c>
      <c r="O41" s="21" t="s">
        <v>67</v>
      </c>
      <c r="P41" s="21">
        <v>0</v>
      </c>
      <c r="Q41" s="21">
        <v>0</v>
      </c>
      <c r="R41" s="21">
        <v>1</v>
      </c>
      <c r="S41" s="21">
        <v>12</v>
      </c>
      <c r="T41" s="21">
        <v>1</v>
      </c>
      <c r="U41" s="21">
        <v>0</v>
      </c>
      <c r="V41" s="21">
        <v>0</v>
      </c>
      <c r="W41" s="21">
        <v>1</v>
      </c>
      <c r="X41" s="21" t="s">
        <v>52</v>
      </c>
      <c r="Y41" s="21" t="s">
        <v>75</v>
      </c>
      <c r="Z41" s="21" t="s">
        <v>75</v>
      </c>
      <c r="AA41" s="21">
        <v>3.1E-2</v>
      </c>
      <c r="AB41" s="21">
        <v>8.9999999999999993E-3</v>
      </c>
      <c r="AC41" s="21">
        <v>0</v>
      </c>
      <c r="AD41" s="21">
        <v>3233335637</v>
      </c>
      <c r="AE41" s="22">
        <v>45536</v>
      </c>
      <c r="AF41" s="21" t="s">
        <v>54</v>
      </c>
      <c r="AG41" s="21" t="s">
        <v>76</v>
      </c>
      <c r="AH41" s="21" t="s">
        <v>77</v>
      </c>
    </row>
    <row r="42" spans="1:34" x14ac:dyDescent="0.25">
      <c r="A42" s="21">
        <v>86399995</v>
      </c>
      <c r="B42" s="21" t="s">
        <v>45</v>
      </c>
      <c r="C42" s="21">
        <v>4</v>
      </c>
      <c r="D42" s="21">
        <v>1000</v>
      </c>
      <c r="E42" s="21">
        <v>0.57999999999999996</v>
      </c>
      <c r="F42" s="21">
        <v>103</v>
      </c>
      <c r="G42" s="21">
        <v>1</v>
      </c>
      <c r="H42" s="21" t="s">
        <v>56</v>
      </c>
      <c r="I42" s="21">
        <v>0.5</v>
      </c>
      <c r="J42" s="21">
        <v>0.38</v>
      </c>
      <c r="K42" s="21">
        <v>103</v>
      </c>
      <c r="L42" s="21">
        <v>1</v>
      </c>
      <c r="M42" s="21" t="s">
        <v>56</v>
      </c>
      <c r="N42" s="21">
        <v>1</v>
      </c>
      <c r="O42" s="21" t="s">
        <v>90</v>
      </c>
      <c r="P42" s="21">
        <v>0</v>
      </c>
      <c r="Q42" s="21">
        <v>0</v>
      </c>
      <c r="R42" s="21">
        <v>0</v>
      </c>
      <c r="S42" s="21">
        <v>0</v>
      </c>
      <c r="T42" s="21">
        <v>1</v>
      </c>
      <c r="U42" s="21">
        <v>0</v>
      </c>
      <c r="V42" s="21">
        <v>0</v>
      </c>
      <c r="W42" s="21">
        <v>1</v>
      </c>
      <c r="X42" s="21" t="s">
        <v>46</v>
      </c>
      <c r="Y42" s="21" t="s">
        <v>75</v>
      </c>
      <c r="Z42" s="21" t="s">
        <v>75</v>
      </c>
      <c r="AA42" s="21">
        <v>5.8999999999999997E-2</v>
      </c>
      <c r="AB42" s="21">
        <v>0</v>
      </c>
      <c r="AC42" s="21">
        <v>0</v>
      </c>
      <c r="AD42" s="21">
        <v>3201920278</v>
      </c>
      <c r="AE42" s="22">
        <v>44044</v>
      </c>
      <c r="AF42" s="21" t="s">
        <v>73</v>
      </c>
      <c r="AG42" s="21" t="s">
        <v>55</v>
      </c>
      <c r="AH42" s="21" t="s">
        <v>50</v>
      </c>
    </row>
    <row r="43" spans="1:34" x14ac:dyDescent="0.25">
      <c r="A43" s="21">
        <v>86429633</v>
      </c>
      <c r="B43" s="21" t="s">
        <v>45</v>
      </c>
      <c r="C43" s="21">
        <v>7</v>
      </c>
      <c r="D43" s="21">
        <v>1000</v>
      </c>
      <c r="E43" s="21">
        <v>0.77</v>
      </c>
      <c r="F43" s="21">
        <v>104</v>
      </c>
      <c r="G43" s="21">
        <v>1</v>
      </c>
      <c r="H43" s="21">
        <v>134</v>
      </c>
      <c r="I43" s="21">
        <v>1</v>
      </c>
      <c r="J43" s="21">
        <v>0.44</v>
      </c>
      <c r="K43" s="21">
        <v>105</v>
      </c>
      <c r="L43" s="21">
        <v>1</v>
      </c>
      <c r="M43" s="21">
        <v>151</v>
      </c>
      <c r="N43" s="21">
        <v>1</v>
      </c>
      <c r="O43" s="21" t="s">
        <v>97</v>
      </c>
      <c r="P43" s="21">
        <v>0</v>
      </c>
      <c r="Q43" s="21">
        <v>2</v>
      </c>
      <c r="R43" s="21">
        <v>1</v>
      </c>
      <c r="S43" s="21">
        <v>12</v>
      </c>
      <c r="T43" s="21">
        <v>1</v>
      </c>
      <c r="U43" s="21">
        <v>0</v>
      </c>
      <c r="V43" s="21">
        <v>0</v>
      </c>
      <c r="W43" s="21">
        <v>3</v>
      </c>
      <c r="X43" s="21" t="s">
        <v>52</v>
      </c>
      <c r="Y43" s="21" t="s">
        <v>68</v>
      </c>
      <c r="Z43" s="21" t="s">
        <v>68</v>
      </c>
      <c r="AA43" s="21">
        <v>0.158</v>
      </c>
      <c r="AB43" s="21">
        <v>0</v>
      </c>
      <c r="AC43" s="21">
        <v>0</v>
      </c>
      <c r="AD43" s="21">
        <v>5183300200</v>
      </c>
      <c r="AE43" s="22">
        <v>45566</v>
      </c>
      <c r="AF43" s="21" t="s">
        <v>65</v>
      </c>
      <c r="AG43" s="21" t="s">
        <v>55</v>
      </c>
      <c r="AH43" s="21" t="s">
        <v>50</v>
      </c>
    </row>
    <row r="44" spans="1:34" x14ac:dyDescent="0.25">
      <c r="A44" s="21">
        <v>86429644</v>
      </c>
      <c r="B44" s="21" t="s">
        <v>45</v>
      </c>
      <c r="C44" s="21">
        <v>1</v>
      </c>
      <c r="D44" s="21">
        <v>1000</v>
      </c>
      <c r="E44" s="21">
        <v>0.4</v>
      </c>
      <c r="F44" s="21">
        <v>103</v>
      </c>
      <c r="G44" s="21">
        <v>1</v>
      </c>
      <c r="H44" s="21" t="s">
        <v>56</v>
      </c>
      <c r="I44" s="21">
        <v>0.5</v>
      </c>
      <c r="J44" s="21">
        <v>0.28000000000000003</v>
      </c>
      <c r="K44" s="21">
        <v>103</v>
      </c>
      <c r="L44" s="21">
        <v>1</v>
      </c>
      <c r="M44" s="21" t="s">
        <v>56</v>
      </c>
      <c r="N44" s="21">
        <v>0.5</v>
      </c>
      <c r="O44" s="21" t="s">
        <v>84</v>
      </c>
      <c r="P44" s="21">
        <v>0</v>
      </c>
      <c r="Q44" s="21">
        <v>0</v>
      </c>
      <c r="R44" s="21">
        <v>1</v>
      </c>
      <c r="S44" s="21">
        <v>12</v>
      </c>
      <c r="T44" s="21">
        <v>1</v>
      </c>
      <c r="U44" s="21">
        <v>0</v>
      </c>
      <c r="V44" s="21">
        <v>0</v>
      </c>
      <c r="W44" s="21">
        <v>3</v>
      </c>
      <c r="X44" s="21" t="s">
        <v>52</v>
      </c>
      <c r="Y44" s="21" t="s">
        <v>58</v>
      </c>
      <c r="Z44" s="21" t="s">
        <v>58</v>
      </c>
      <c r="AA44" s="21">
        <v>0.156</v>
      </c>
      <c r="AB44" s="21">
        <v>0</v>
      </c>
      <c r="AC44" s="21">
        <v>0</v>
      </c>
      <c r="AD44" s="21">
        <v>3201980332</v>
      </c>
      <c r="AE44" s="22">
        <v>45566</v>
      </c>
      <c r="AF44" s="21" t="s">
        <v>65</v>
      </c>
      <c r="AG44" s="21" t="s">
        <v>55</v>
      </c>
      <c r="AH44" s="21" t="s">
        <v>50</v>
      </c>
    </row>
    <row r="45" spans="1:34" x14ac:dyDescent="0.25">
      <c r="A45" s="21">
        <v>86429649</v>
      </c>
      <c r="B45" s="21" t="s">
        <v>45</v>
      </c>
      <c r="C45" s="21">
        <v>1</v>
      </c>
      <c r="D45" s="21">
        <v>1000</v>
      </c>
      <c r="E45" s="21">
        <v>0.8</v>
      </c>
      <c r="F45" s="21">
        <v>103</v>
      </c>
      <c r="G45" s="21">
        <v>1</v>
      </c>
      <c r="H45" s="21" t="s">
        <v>56</v>
      </c>
      <c r="I45" s="21">
        <v>1.6</v>
      </c>
      <c r="J45" s="21">
        <v>0.44</v>
      </c>
      <c r="K45" s="21">
        <v>103</v>
      </c>
      <c r="L45" s="21">
        <v>1</v>
      </c>
      <c r="M45" s="21" t="s">
        <v>56</v>
      </c>
      <c r="N45" s="21">
        <v>3.2</v>
      </c>
      <c r="O45" s="21" t="s">
        <v>74</v>
      </c>
      <c r="P45" s="21">
        <v>0</v>
      </c>
      <c r="Q45" s="21">
        <v>0</v>
      </c>
      <c r="R45" s="21">
        <v>1</v>
      </c>
      <c r="S45" s="21">
        <v>12</v>
      </c>
      <c r="T45" s="21">
        <v>1</v>
      </c>
      <c r="U45" s="21">
        <v>0</v>
      </c>
      <c r="V45" s="21">
        <v>0</v>
      </c>
      <c r="W45" s="21">
        <v>3</v>
      </c>
      <c r="X45" s="21" t="s">
        <v>52</v>
      </c>
      <c r="Y45" s="21" t="s">
        <v>58</v>
      </c>
      <c r="Z45" s="21" t="s">
        <v>58</v>
      </c>
      <c r="AA45" s="21">
        <v>0.159</v>
      </c>
      <c r="AB45" s="21">
        <v>0</v>
      </c>
      <c r="AC45" s="21">
        <v>0</v>
      </c>
      <c r="AD45" s="21">
        <v>5183300184</v>
      </c>
      <c r="AE45" s="22">
        <v>45566</v>
      </c>
      <c r="AF45" s="21" t="s">
        <v>65</v>
      </c>
      <c r="AG45" s="21" t="s">
        <v>55</v>
      </c>
      <c r="AH45" s="21" t="s">
        <v>50</v>
      </c>
    </row>
    <row r="46" spans="1:34" x14ac:dyDescent="0.25">
      <c r="A46" s="21">
        <v>86429654</v>
      </c>
      <c r="B46" s="21" t="s">
        <v>45</v>
      </c>
      <c r="C46" s="21">
        <v>8</v>
      </c>
      <c r="D46" s="21">
        <v>1000</v>
      </c>
      <c r="E46" s="21">
        <v>0.74</v>
      </c>
      <c r="F46" s="21">
        <v>104</v>
      </c>
      <c r="G46" s="21">
        <v>1</v>
      </c>
      <c r="H46" s="21">
        <v>134</v>
      </c>
      <c r="I46" s="21">
        <v>1</v>
      </c>
      <c r="J46" s="21">
        <v>0.45</v>
      </c>
      <c r="K46" s="21">
        <v>105</v>
      </c>
      <c r="L46" s="21">
        <v>1</v>
      </c>
      <c r="M46" s="21">
        <v>151</v>
      </c>
      <c r="N46" s="21">
        <v>1</v>
      </c>
      <c r="O46" s="21" t="s">
        <v>90</v>
      </c>
      <c r="P46" s="21">
        <v>0</v>
      </c>
      <c r="Q46" s="21">
        <v>2</v>
      </c>
      <c r="R46" s="21">
        <v>1</v>
      </c>
      <c r="S46" s="21">
        <v>12</v>
      </c>
      <c r="T46" s="21">
        <v>1</v>
      </c>
      <c r="U46" s="21">
        <v>0</v>
      </c>
      <c r="V46" s="21">
        <v>0</v>
      </c>
      <c r="W46" s="21">
        <v>1</v>
      </c>
      <c r="X46" s="21" t="s">
        <v>46</v>
      </c>
      <c r="Y46" s="21" t="s">
        <v>75</v>
      </c>
      <c r="Z46" s="21" t="s">
        <v>75</v>
      </c>
      <c r="AA46" s="21">
        <v>0.192</v>
      </c>
      <c r="AB46" s="21">
        <v>0</v>
      </c>
      <c r="AC46" s="21">
        <v>0</v>
      </c>
      <c r="AD46" s="21">
        <v>5190870091</v>
      </c>
      <c r="AE46" s="22">
        <v>45536</v>
      </c>
      <c r="AF46" s="21" t="s">
        <v>73</v>
      </c>
      <c r="AG46" s="21" t="s">
        <v>55</v>
      </c>
      <c r="AH46" s="21" t="s">
        <v>50</v>
      </c>
    </row>
    <row r="47" spans="1:34" x14ac:dyDescent="0.25">
      <c r="A47" s="21">
        <v>86429659</v>
      </c>
      <c r="B47" s="21" t="s">
        <v>45</v>
      </c>
      <c r="C47" s="21">
        <v>1</v>
      </c>
      <c r="D47" s="21">
        <v>1000</v>
      </c>
      <c r="E47" s="21">
        <v>0.56000000000000005</v>
      </c>
      <c r="F47" s="21">
        <v>103</v>
      </c>
      <c r="G47" s="21">
        <v>1</v>
      </c>
      <c r="H47" s="21" t="s">
        <v>56</v>
      </c>
      <c r="I47" s="21">
        <v>1</v>
      </c>
      <c r="J47" s="21">
        <v>0.35</v>
      </c>
      <c r="K47" s="21">
        <v>103</v>
      </c>
      <c r="L47" s="21">
        <v>1</v>
      </c>
      <c r="M47" s="21" t="s">
        <v>56</v>
      </c>
      <c r="N47" s="21">
        <v>1.8</v>
      </c>
      <c r="O47" s="21" t="s">
        <v>90</v>
      </c>
      <c r="P47" s="21">
        <v>0</v>
      </c>
      <c r="Q47" s="21">
        <v>0</v>
      </c>
      <c r="R47" s="21">
        <v>1</v>
      </c>
      <c r="S47" s="21">
        <v>12</v>
      </c>
      <c r="T47" s="21">
        <v>1</v>
      </c>
      <c r="U47" s="21">
        <v>0</v>
      </c>
      <c r="V47" s="21">
        <v>0</v>
      </c>
      <c r="W47" s="21">
        <v>3</v>
      </c>
      <c r="X47" s="21" t="s">
        <v>46</v>
      </c>
      <c r="Y47" s="21" t="s">
        <v>75</v>
      </c>
      <c r="Z47" s="21" t="s">
        <v>75</v>
      </c>
      <c r="AA47" s="21">
        <v>4.2000000000000003E-2</v>
      </c>
      <c r="AB47" s="21">
        <v>0</v>
      </c>
      <c r="AC47" s="21">
        <v>0</v>
      </c>
      <c r="AD47" s="21">
        <v>3171310862</v>
      </c>
      <c r="AE47" s="22">
        <v>45536</v>
      </c>
      <c r="AF47" s="21" t="s">
        <v>73</v>
      </c>
      <c r="AG47" s="21" t="s">
        <v>49</v>
      </c>
      <c r="AH47" s="21" t="s">
        <v>50</v>
      </c>
    </row>
    <row r="48" spans="1:34" x14ac:dyDescent="0.25">
      <c r="A48" s="21">
        <v>86429664</v>
      </c>
      <c r="B48" s="21" t="s">
        <v>45</v>
      </c>
      <c r="C48" s="21">
        <v>7</v>
      </c>
      <c r="D48" s="21">
        <v>1000</v>
      </c>
      <c r="E48" s="21">
        <v>0.54</v>
      </c>
      <c r="F48" s="21">
        <v>104</v>
      </c>
      <c r="G48" s="21">
        <v>1</v>
      </c>
      <c r="H48" s="21">
        <v>134</v>
      </c>
      <c r="I48" s="21">
        <v>1</v>
      </c>
      <c r="J48" s="21">
        <v>0.36</v>
      </c>
      <c r="K48" s="21">
        <v>105</v>
      </c>
      <c r="L48" s="21">
        <v>1</v>
      </c>
      <c r="M48" s="21">
        <v>151</v>
      </c>
      <c r="N48" s="21">
        <v>1</v>
      </c>
      <c r="O48" s="21" t="s">
        <v>90</v>
      </c>
      <c r="P48" s="21">
        <v>0</v>
      </c>
      <c r="Q48" s="21">
        <v>3</v>
      </c>
      <c r="R48" s="21">
        <v>1</v>
      </c>
      <c r="S48" s="21">
        <v>12</v>
      </c>
      <c r="T48" s="21">
        <v>1</v>
      </c>
      <c r="U48" s="21">
        <v>0</v>
      </c>
      <c r="V48" s="21">
        <v>0</v>
      </c>
      <c r="W48" s="21">
        <v>3</v>
      </c>
      <c r="X48" s="21" t="s">
        <v>46</v>
      </c>
      <c r="Y48" s="21" t="s">
        <v>68</v>
      </c>
      <c r="Z48" s="21" t="s">
        <v>68</v>
      </c>
      <c r="AA48" s="21">
        <v>0.14000000000000001</v>
      </c>
      <c r="AB48" s="21">
        <v>0</v>
      </c>
      <c r="AC48" s="21">
        <v>0</v>
      </c>
      <c r="AD48" s="21">
        <v>3171311174</v>
      </c>
      <c r="AE48" s="22">
        <v>45536</v>
      </c>
      <c r="AF48" s="21" t="s">
        <v>73</v>
      </c>
      <c r="AG48" s="21" t="s">
        <v>49</v>
      </c>
      <c r="AH48" s="21" t="s">
        <v>50</v>
      </c>
    </row>
    <row r="49" spans="1:34" x14ac:dyDescent="0.25">
      <c r="A49" s="21">
        <v>864330710</v>
      </c>
      <c r="B49" s="21" t="s">
        <v>45</v>
      </c>
      <c r="C49" s="21">
        <v>8</v>
      </c>
      <c r="D49" s="21">
        <v>1000</v>
      </c>
      <c r="E49" s="21">
        <v>0.48</v>
      </c>
      <c r="F49" s="21">
        <v>104</v>
      </c>
      <c r="G49" s="21">
        <v>1</v>
      </c>
      <c r="H49" s="21">
        <v>134</v>
      </c>
      <c r="I49" s="21">
        <v>1</v>
      </c>
      <c r="J49" s="21">
        <v>0.36</v>
      </c>
      <c r="K49" s="21">
        <v>105</v>
      </c>
      <c r="L49" s="21">
        <v>1</v>
      </c>
      <c r="M49" s="21">
        <v>151</v>
      </c>
      <c r="N49" s="21">
        <v>1</v>
      </c>
      <c r="O49" s="21" t="s">
        <v>67</v>
      </c>
      <c r="P49" s="21">
        <v>0</v>
      </c>
      <c r="Q49" s="21">
        <v>3</v>
      </c>
      <c r="R49" s="21">
        <v>1</v>
      </c>
      <c r="S49" s="21">
        <v>12</v>
      </c>
      <c r="T49" s="21">
        <v>1</v>
      </c>
      <c r="U49" s="21">
        <v>0</v>
      </c>
      <c r="V49" s="21">
        <v>0</v>
      </c>
      <c r="W49" s="21">
        <v>1</v>
      </c>
      <c r="X49" s="21" t="s">
        <v>52</v>
      </c>
      <c r="Y49" s="21" t="s">
        <v>68</v>
      </c>
      <c r="Z49" s="21" t="s">
        <v>68</v>
      </c>
      <c r="AA49" s="21">
        <v>8.8999999999999996E-2</v>
      </c>
      <c r="AB49" s="21">
        <v>8.2000000000000003E-2</v>
      </c>
      <c r="AC49" s="21">
        <v>0</v>
      </c>
      <c r="AD49" s="21">
        <v>7233397005</v>
      </c>
      <c r="AE49" s="22">
        <v>45536</v>
      </c>
      <c r="AF49" s="21" t="s">
        <v>54</v>
      </c>
      <c r="AG49" s="21" t="s">
        <v>76</v>
      </c>
      <c r="AH49" s="21" t="s">
        <v>77</v>
      </c>
    </row>
    <row r="50" spans="1:34" x14ac:dyDescent="0.25">
      <c r="A50" s="21">
        <v>86434693</v>
      </c>
      <c r="B50" s="21" t="s">
        <v>45</v>
      </c>
      <c r="C50" s="21">
        <v>1</v>
      </c>
      <c r="D50" s="21">
        <v>1000</v>
      </c>
      <c r="E50" s="21">
        <v>0.38</v>
      </c>
      <c r="F50" s="21" t="s">
        <v>60</v>
      </c>
      <c r="G50" s="21">
        <v>0.6</v>
      </c>
      <c r="H50" s="21" t="s">
        <v>87</v>
      </c>
      <c r="I50" s="21">
        <v>1.2</v>
      </c>
      <c r="J50" s="21">
        <v>0.28000000000000003</v>
      </c>
      <c r="K50" s="21" t="s">
        <v>60</v>
      </c>
      <c r="L50" s="21">
        <v>0.8</v>
      </c>
      <c r="M50" s="21" t="s">
        <v>56</v>
      </c>
      <c r="N50" s="21">
        <v>2.8</v>
      </c>
      <c r="O50" s="21" t="s">
        <v>61</v>
      </c>
      <c r="P50" s="21">
        <v>0</v>
      </c>
      <c r="Q50" s="21">
        <v>0</v>
      </c>
      <c r="R50" s="21">
        <v>1</v>
      </c>
      <c r="S50" s="21">
        <v>12</v>
      </c>
      <c r="T50" s="21">
        <v>1</v>
      </c>
      <c r="U50" s="21">
        <v>0</v>
      </c>
      <c r="V50" s="21">
        <v>0</v>
      </c>
      <c r="W50" s="21">
        <v>1</v>
      </c>
      <c r="X50" s="21" t="s">
        <v>46</v>
      </c>
      <c r="Y50" s="21" t="s">
        <v>68</v>
      </c>
      <c r="Z50" s="21" t="s">
        <v>68</v>
      </c>
      <c r="AA50" s="21">
        <v>0.34100000000000003</v>
      </c>
      <c r="AB50" s="21">
        <v>0</v>
      </c>
      <c r="AC50" s="21">
        <v>0</v>
      </c>
      <c r="AD50" s="21">
        <v>1170041308</v>
      </c>
      <c r="AE50" s="22">
        <v>45536</v>
      </c>
      <c r="AF50" s="21" t="s">
        <v>48</v>
      </c>
      <c r="AG50" s="21" t="s">
        <v>49</v>
      </c>
      <c r="AH50" s="21" t="s">
        <v>50</v>
      </c>
    </row>
    <row r="51" spans="1:34" x14ac:dyDescent="0.25">
      <c r="A51" s="21">
        <v>864562556</v>
      </c>
      <c r="B51" s="21" t="s">
        <v>45</v>
      </c>
      <c r="C51" s="21">
        <v>1</v>
      </c>
      <c r="D51" s="21">
        <v>1000</v>
      </c>
      <c r="E51" s="21">
        <v>0.72</v>
      </c>
      <c r="F51" s="21">
        <v>103</v>
      </c>
      <c r="G51" s="21">
        <v>1</v>
      </c>
      <c r="H51" s="21" t="s">
        <v>56</v>
      </c>
      <c r="I51" s="21">
        <v>1</v>
      </c>
      <c r="J51" s="21">
        <v>0.43</v>
      </c>
      <c r="K51" s="21">
        <v>103</v>
      </c>
      <c r="L51" s="21">
        <v>1</v>
      </c>
      <c r="M51" s="21" t="s">
        <v>56</v>
      </c>
      <c r="N51" s="21">
        <v>2</v>
      </c>
      <c r="O51" s="21" t="s">
        <v>67</v>
      </c>
      <c r="P51" s="21">
        <v>0</v>
      </c>
      <c r="Q51" s="21">
        <v>0</v>
      </c>
      <c r="R51" s="21">
        <v>1</v>
      </c>
      <c r="S51" s="21">
        <v>12</v>
      </c>
      <c r="T51" s="21">
        <v>1</v>
      </c>
      <c r="U51" s="21">
        <v>0</v>
      </c>
      <c r="V51" s="21">
        <v>0</v>
      </c>
      <c r="W51" s="21">
        <v>1</v>
      </c>
      <c r="X51" s="21" t="s">
        <v>52</v>
      </c>
      <c r="Y51" s="21" t="s">
        <v>75</v>
      </c>
      <c r="Z51" s="21" t="s">
        <v>75</v>
      </c>
      <c r="AA51" s="21">
        <v>8.5000000000000006E-2</v>
      </c>
      <c r="AB51" s="21">
        <v>8.5000000000000006E-2</v>
      </c>
      <c r="AC51" s="21">
        <v>0</v>
      </c>
      <c r="AD51" s="21">
        <v>7253455013</v>
      </c>
      <c r="AE51" s="22">
        <v>45536</v>
      </c>
      <c r="AF51" s="21" t="s">
        <v>54</v>
      </c>
      <c r="AG51" s="21" t="s">
        <v>76</v>
      </c>
      <c r="AH51" s="21" t="s">
        <v>100</v>
      </c>
    </row>
    <row r="52" spans="1:34" x14ac:dyDescent="0.25">
      <c r="A52" s="21">
        <v>865013438</v>
      </c>
      <c r="B52" s="21" t="s">
        <v>45</v>
      </c>
      <c r="C52" s="21">
        <v>1</v>
      </c>
      <c r="D52" s="21">
        <v>1000</v>
      </c>
      <c r="E52" s="21">
        <v>0.4</v>
      </c>
      <c r="F52" s="21">
        <v>103</v>
      </c>
      <c r="G52" s="21">
        <v>1</v>
      </c>
      <c r="H52" s="21" t="s">
        <v>56</v>
      </c>
      <c r="I52" s="21">
        <v>1</v>
      </c>
      <c r="J52" s="21">
        <v>0.28000000000000003</v>
      </c>
      <c r="K52" s="21">
        <v>103</v>
      </c>
      <c r="L52" s="21">
        <v>1</v>
      </c>
      <c r="M52" s="21" t="s">
        <v>56</v>
      </c>
      <c r="N52" s="21">
        <v>1.6</v>
      </c>
      <c r="O52" s="21" t="s">
        <v>67</v>
      </c>
      <c r="P52" s="21">
        <v>0</v>
      </c>
      <c r="Q52" s="21">
        <v>0</v>
      </c>
      <c r="R52" s="21">
        <v>0</v>
      </c>
      <c r="S52" s="21">
        <v>1</v>
      </c>
      <c r="T52" s="21">
        <v>1</v>
      </c>
      <c r="U52" s="21">
        <v>0</v>
      </c>
      <c r="V52" s="21">
        <v>0</v>
      </c>
      <c r="W52" s="21">
        <v>0</v>
      </c>
      <c r="X52" s="21" t="s">
        <v>52</v>
      </c>
      <c r="Y52" s="21" t="s">
        <v>47</v>
      </c>
      <c r="Z52" s="21" t="s">
        <v>47</v>
      </c>
      <c r="AA52" s="21">
        <v>0.109</v>
      </c>
      <c r="AB52" s="21">
        <v>6.9000000000000006E-2</v>
      </c>
      <c r="AC52" s="21">
        <v>0</v>
      </c>
      <c r="AD52" s="21">
        <v>7233397011</v>
      </c>
      <c r="AE52" s="22">
        <v>46023</v>
      </c>
      <c r="AF52" s="21" t="s">
        <v>54</v>
      </c>
      <c r="AG52" s="21" t="s">
        <v>76</v>
      </c>
      <c r="AH52" s="21" t="s">
        <v>77</v>
      </c>
    </row>
    <row r="53" spans="1:34" x14ac:dyDescent="0.25">
      <c r="A53" s="21">
        <v>865867935</v>
      </c>
      <c r="B53" s="21" t="s">
        <v>45</v>
      </c>
      <c r="C53" s="21">
        <v>7</v>
      </c>
      <c r="D53" s="21">
        <v>1000</v>
      </c>
      <c r="E53" s="21">
        <v>0.64</v>
      </c>
      <c r="F53" s="21">
        <v>104</v>
      </c>
      <c r="G53" s="21">
        <v>1</v>
      </c>
      <c r="H53" s="21">
        <v>134</v>
      </c>
      <c r="I53" s="21">
        <v>1</v>
      </c>
      <c r="J53" s="21">
        <v>0.44</v>
      </c>
      <c r="K53" s="21">
        <v>105</v>
      </c>
      <c r="L53" s="21">
        <v>1</v>
      </c>
      <c r="M53" s="21">
        <v>151</v>
      </c>
      <c r="N53" s="21">
        <v>1</v>
      </c>
      <c r="O53" s="21" t="s">
        <v>67</v>
      </c>
      <c r="P53" s="21">
        <v>0</v>
      </c>
      <c r="Q53" s="21">
        <v>2</v>
      </c>
      <c r="R53" s="21">
        <v>1</v>
      </c>
      <c r="S53" s="21">
        <v>12</v>
      </c>
      <c r="T53" s="21">
        <v>1</v>
      </c>
      <c r="U53" s="21">
        <v>0</v>
      </c>
      <c r="V53" s="21">
        <v>0</v>
      </c>
      <c r="W53" s="21">
        <v>3</v>
      </c>
      <c r="X53" s="21" t="s">
        <v>52</v>
      </c>
      <c r="Y53" s="21" t="s">
        <v>68</v>
      </c>
      <c r="Z53" s="21" t="s">
        <v>68</v>
      </c>
      <c r="AA53" s="21">
        <v>0.318</v>
      </c>
      <c r="AB53" s="21">
        <v>5.7000000000000002E-2</v>
      </c>
      <c r="AC53" s="21">
        <v>0</v>
      </c>
      <c r="AD53" s="21">
        <v>7230917000</v>
      </c>
      <c r="AE53" s="22">
        <v>45536</v>
      </c>
      <c r="AF53" s="21" t="s">
        <v>73</v>
      </c>
      <c r="AG53" s="21" t="s">
        <v>95</v>
      </c>
      <c r="AH53" s="21" t="s">
        <v>96</v>
      </c>
    </row>
    <row r="54" spans="1:34" x14ac:dyDescent="0.25">
      <c r="A54" s="21">
        <v>866172831</v>
      </c>
      <c r="B54" s="21" t="s">
        <v>45</v>
      </c>
      <c r="C54" s="21">
        <v>5</v>
      </c>
      <c r="D54" s="21">
        <v>1000</v>
      </c>
      <c r="E54" s="21">
        <v>0.62</v>
      </c>
      <c r="F54" s="21">
        <v>104</v>
      </c>
      <c r="G54" s="21">
        <v>1</v>
      </c>
      <c r="H54" s="21">
        <v>134</v>
      </c>
      <c r="I54" s="21">
        <v>1</v>
      </c>
      <c r="J54" s="21">
        <v>0.35</v>
      </c>
      <c r="K54" s="21">
        <v>105</v>
      </c>
      <c r="L54" s="21">
        <v>1</v>
      </c>
      <c r="M54" s="21">
        <v>151</v>
      </c>
      <c r="N54" s="21">
        <v>1</v>
      </c>
      <c r="O54" s="21" t="s">
        <v>67</v>
      </c>
      <c r="P54" s="21">
        <v>1</v>
      </c>
      <c r="Q54" s="21">
        <v>0</v>
      </c>
      <c r="R54" s="21">
        <v>1</v>
      </c>
      <c r="S54" s="21">
        <v>12</v>
      </c>
      <c r="T54" s="21">
        <v>1</v>
      </c>
      <c r="U54" s="21">
        <v>0</v>
      </c>
      <c r="V54" s="21">
        <v>0</v>
      </c>
      <c r="W54" s="21">
        <v>3</v>
      </c>
      <c r="X54" s="21" t="s">
        <v>52</v>
      </c>
      <c r="Y54" s="21" t="s">
        <v>58</v>
      </c>
      <c r="Z54" s="21" t="s">
        <v>58</v>
      </c>
      <c r="AA54" s="21">
        <v>4.7E-2</v>
      </c>
      <c r="AB54" s="21">
        <v>0.10299999999999999</v>
      </c>
      <c r="AC54" s="21">
        <v>0</v>
      </c>
      <c r="AD54" s="21">
        <v>3233345292</v>
      </c>
      <c r="AE54" s="22">
        <v>45536</v>
      </c>
      <c r="AF54" s="21" t="s">
        <v>54</v>
      </c>
      <c r="AG54" s="21" t="s">
        <v>76</v>
      </c>
      <c r="AH54" s="21" t="s">
        <v>77</v>
      </c>
    </row>
    <row r="55" spans="1:34" x14ac:dyDescent="0.25">
      <c r="A55" s="21">
        <v>866215741</v>
      </c>
      <c r="B55" s="21" t="s">
        <v>45</v>
      </c>
      <c r="C55" s="21">
        <v>1</v>
      </c>
      <c r="D55" s="21">
        <v>1000</v>
      </c>
      <c r="E55" s="21">
        <v>0.4</v>
      </c>
      <c r="F55" s="21">
        <v>103</v>
      </c>
      <c r="G55" s="21">
        <v>1</v>
      </c>
      <c r="H55" s="21" t="s">
        <v>56</v>
      </c>
      <c r="I55" s="21">
        <v>1</v>
      </c>
      <c r="J55" s="21">
        <v>0.28000000000000003</v>
      </c>
      <c r="K55" s="21">
        <v>103</v>
      </c>
      <c r="L55" s="21">
        <v>1</v>
      </c>
      <c r="M55" s="21" t="s">
        <v>56</v>
      </c>
      <c r="N55" s="21">
        <v>1.4</v>
      </c>
      <c r="O55" s="21" t="s">
        <v>67</v>
      </c>
      <c r="P55" s="21">
        <v>0</v>
      </c>
      <c r="Q55" s="21">
        <v>0</v>
      </c>
      <c r="R55" s="21">
        <v>1</v>
      </c>
      <c r="S55" s="21">
        <v>12</v>
      </c>
      <c r="T55" s="21">
        <v>1</v>
      </c>
      <c r="U55" s="21">
        <v>0</v>
      </c>
      <c r="V55" s="21">
        <v>0</v>
      </c>
      <c r="W55" s="21">
        <v>1</v>
      </c>
      <c r="X55" s="21" t="s">
        <v>52</v>
      </c>
      <c r="Y55" s="21" t="s">
        <v>53</v>
      </c>
      <c r="Z55" s="21" t="s">
        <v>53</v>
      </c>
      <c r="AA55" s="21">
        <v>6.9000000000000006E-2</v>
      </c>
      <c r="AB55" s="21">
        <v>7.0999999999999994E-2</v>
      </c>
      <c r="AC55" s="21">
        <v>0</v>
      </c>
      <c r="AD55" s="21">
        <v>7253455000</v>
      </c>
      <c r="AE55" s="22">
        <v>45536</v>
      </c>
      <c r="AF55" s="21" t="s">
        <v>54</v>
      </c>
      <c r="AG55" s="21" t="s">
        <v>76</v>
      </c>
      <c r="AH55" s="21" t="s">
        <v>100</v>
      </c>
    </row>
    <row r="56" spans="1:34" x14ac:dyDescent="0.25">
      <c r="A56" s="21">
        <v>87324878</v>
      </c>
      <c r="B56" s="21" t="s">
        <v>45</v>
      </c>
      <c r="C56" s="21">
        <v>1</v>
      </c>
      <c r="D56" s="21">
        <v>1000</v>
      </c>
      <c r="E56" s="21">
        <v>0.53</v>
      </c>
      <c r="F56" s="21">
        <v>103</v>
      </c>
      <c r="G56" s="21">
        <v>1</v>
      </c>
      <c r="H56" s="21" t="s">
        <v>56</v>
      </c>
      <c r="I56" s="21">
        <v>0.8</v>
      </c>
      <c r="J56" s="21">
        <v>0.3</v>
      </c>
      <c r="K56" s="21">
        <v>103</v>
      </c>
      <c r="L56" s="21">
        <v>1</v>
      </c>
      <c r="M56" s="21" t="s">
        <v>56</v>
      </c>
      <c r="N56" s="21">
        <v>1.3</v>
      </c>
      <c r="O56" s="21" t="s">
        <v>74</v>
      </c>
      <c r="P56" s="21">
        <v>0</v>
      </c>
      <c r="Q56" s="21">
        <v>0</v>
      </c>
      <c r="R56" s="21">
        <v>1</v>
      </c>
      <c r="S56" s="21">
        <v>12</v>
      </c>
      <c r="T56" s="21">
        <v>1</v>
      </c>
      <c r="U56" s="21">
        <v>0</v>
      </c>
      <c r="V56" s="21">
        <v>0</v>
      </c>
      <c r="W56" s="21">
        <v>1</v>
      </c>
      <c r="X56" s="21" t="s">
        <v>46</v>
      </c>
      <c r="Y56" s="21" t="s">
        <v>47</v>
      </c>
      <c r="Z56" s="21" t="s">
        <v>47</v>
      </c>
      <c r="AA56" s="21">
        <v>7.0000000000000007E-2</v>
      </c>
      <c r="AB56" s="21">
        <v>0</v>
      </c>
      <c r="AC56" s="21">
        <v>0</v>
      </c>
      <c r="AD56" s="21">
        <v>3171311385</v>
      </c>
      <c r="AE56" s="22">
        <v>45536</v>
      </c>
      <c r="AF56" s="21" t="s">
        <v>73</v>
      </c>
      <c r="AG56" s="21" t="s">
        <v>49</v>
      </c>
      <c r="AH56" s="21" t="s">
        <v>50</v>
      </c>
    </row>
    <row r="57" spans="1:34" x14ac:dyDescent="0.25">
      <c r="A57" s="21">
        <v>88144934</v>
      </c>
      <c r="B57" s="21" t="s">
        <v>45</v>
      </c>
      <c r="C57" s="21">
        <v>1</v>
      </c>
      <c r="D57" s="21">
        <v>1000</v>
      </c>
      <c r="E57" s="21">
        <v>0.4</v>
      </c>
      <c r="F57" s="21">
        <v>103</v>
      </c>
      <c r="G57" s="21">
        <v>1</v>
      </c>
      <c r="H57" s="21" t="s">
        <v>51</v>
      </c>
      <c r="I57" s="21">
        <v>1.1000000000000001</v>
      </c>
      <c r="J57" s="21">
        <v>0.3</v>
      </c>
      <c r="K57" s="21">
        <v>103</v>
      </c>
      <c r="L57" s="21">
        <v>1</v>
      </c>
      <c r="M57" s="21" t="s">
        <v>51</v>
      </c>
      <c r="N57" s="21">
        <v>2</v>
      </c>
      <c r="O57" s="21" t="s">
        <v>85</v>
      </c>
      <c r="P57" s="21">
        <v>0</v>
      </c>
      <c r="Q57" s="21">
        <v>0</v>
      </c>
      <c r="R57" s="21">
        <v>1</v>
      </c>
      <c r="S57" s="21">
        <v>12</v>
      </c>
      <c r="T57" s="21">
        <v>1</v>
      </c>
      <c r="U57" s="21">
        <v>0</v>
      </c>
      <c r="V57" s="21">
        <v>0</v>
      </c>
      <c r="W57" s="21">
        <v>1</v>
      </c>
      <c r="X57" s="21" t="s">
        <v>52</v>
      </c>
      <c r="Y57" s="21" t="s">
        <v>68</v>
      </c>
      <c r="Z57" s="21" t="s">
        <v>68</v>
      </c>
      <c r="AA57" s="21">
        <v>0.189</v>
      </c>
      <c r="AB57" s="21">
        <v>0</v>
      </c>
      <c r="AC57" s="21">
        <v>0</v>
      </c>
      <c r="AD57" s="21">
        <v>3201820788</v>
      </c>
      <c r="AE57" s="22">
        <v>45566</v>
      </c>
      <c r="AF57" s="21" t="s">
        <v>65</v>
      </c>
      <c r="AG57" s="21" t="s">
        <v>55</v>
      </c>
      <c r="AH57" s="21" t="s">
        <v>50</v>
      </c>
    </row>
    <row r="58" spans="1:34" x14ac:dyDescent="0.25">
      <c r="A58" s="21">
        <v>88164672</v>
      </c>
      <c r="B58" s="21" t="s">
        <v>45</v>
      </c>
      <c r="C58" s="21">
        <v>7</v>
      </c>
      <c r="D58" s="21">
        <v>1000</v>
      </c>
      <c r="E58" s="21">
        <v>0.69</v>
      </c>
      <c r="F58" s="21">
        <v>104</v>
      </c>
      <c r="G58" s="21">
        <v>1</v>
      </c>
      <c r="H58" s="21">
        <v>134</v>
      </c>
      <c r="I58" s="21">
        <v>1</v>
      </c>
      <c r="J58" s="21">
        <v>0.38</v>
      </c>
      <c r="K58" s="21">
        <v>105</v>
      </c>
      <c r="L58" s="21">
        <v>1</v>
      </c>
      <c r="M58" s="21">
        <v>151</v>
      </c>
      <c r="N58" s="21">
        <v>1</v>
      </c>
      <c r="O58" s="21" t="s">
        <v>99</v>
      </c>
      <c r="P58" s="21">
        <v>0</v>
      </c>
      <c r="Q58" s="21">
        <v>3</v>
      </c>
      <c r="R58" s="21">
        <v>0</v>
      </c>
      <c r="S58" s="21">
        <v>0</v>
      </c>
      <c r="T58" s="21">
        <v>1</v>
      </c>
      <c r="U58" s="21">
        <v>0</v>
      </c>
      <c r="V58" s="21">
        <v>0</v>
      </c>
      <c r="W58" s="21">
        <v>3</v>
      </c>
      <c r="X58" s="21" t="s">
        <v>52</v>
      </c>
      <c r="Y58" s="21" t="s">
        <v>68</v>
      </c>
      <c r="Z58" s="21" t="s">
        <v>68</v>
      </c>
      <c r="AA58" s="21">
        <v>0.217</v>
      </c>
      <c r="AB58" s="21">
        <v>3.6999999999999998E-2</v>
      </c>
      <c r="AC58" s="21">
        <v>0</v>
      </c>
      <c r="AD58" s="21">
        <v>7221967003</v>
      </c>
      <c r="AE58" s="22">
        <v>44958</v>
      </c>
      <c r="AF58" s="21" t="s">
        <v>54</v>
      </c>
      <c r="AG58" s="21" t="s">
        <v>55</v>
      </c>
      <c r="AH58" s="21" t="s">
        <v>50</v>
      </c>
    </row>
    <row r="59" spans="1:34" x14ac:dyDescent="0.25">
      <c r="A59" s="21">
        <v>88170633</v>
      </c>
      <c r="B59" s="21" t="s">
        <v>45</v>
      </c>
      <c r="C59" s="21">
        <v>1</v>
      </c>
      <c r="D59" s="21">
        <v>1000</v>
      </c>
      <c r="E59" s="21">
        <v>0.54</v>
      </c>
      <c r="F59" s="21">
        <v>104</v>
      </c>
      <c r="G59" s="21">
        <v>1</v>
      </c>
      <c r="H59" s="21" t="s">
        <v>51</v>
      </c>
      <c r="I59" s="21">
        <v>0.6</v>
      </c>
      <c r="J59" s="21">
        <v>0.34</v>
      </c>
      <c r="K59" s="21">
        <v>104</v>
      </c>
      <c r="L59" s="21">
        <v>1</v>
      </c>
      <c r="M59" s="21" t="s">
        <v>56</v>
      </c>
      <c r="N59" s="21">
        <v>1.2</v>
      </c>
      <c r="O59" s="21" t="s">
        <v>74</v>
      </c>
      <c r="P59" s="21">
        <v>0</v>
      </c>
      <c r="Q59" s="21">
        <v>0</v>
      </c>
      <c r="R59" s="21">
        <v>1</v>
      </c>
      <c r="S59" s="21">
        <v>12</v>
      </c>
      <c r="T59" s="21">
        <v>1</v>
      </c>
      <c r="U59" s="21">
        <v>0</v>
      </c>
      <c r="V59" s="21">
        <v>0</v>
      </c>
      <c r="W59" s="21">
        <v>1</v>
      </c>
      <c r="X59" s="21" t="s">
        <v>46</v>
      </c>
      <c r="Y59" s="21" t="s">
        <v>68</v>
      </c>
      <c r="Z59" s="21" t="s">
        <v>68</v>
      </c>
      <c r="AA59" s="21">
        <v>5.8999999999999997E-2</v>
      </c>
      <c r="AB59" s="21">
        <v>0</v>
      </c>
      <c r="AC59" s="21">
        <v>0</v>
      </c>
      <c r="AD59" s="21">
        <v>1173340110</v>
      </c>
      <c r="AE59" s="22">
        <v>45536</v>
      </c>
      <c r="AF59" s="21" t="s">
        <v>48</v>
      </c>
      <c r="AG59" s="21" t="s">
        <v>55</v>
      </c>
      <c r="AH59" s="21" t="s">
        <v>50</v>
      </c>
    </row>
    <row r="60" spans="1:34" x14ac:dyDescent="0.25">
      <c r="A60" s="21">
        <v>88212888</v>
      </c>
      <c r="B60" s="21" t="s">
        <v>45</v>
      </c>
      <c r="C60" s="21">
        <v>3</v>
      </c>
      <c r="D60" s="21">
        <v>1000</v>
      </c>
      <c r="E60" s="21">
        <v>0.56000000000000005</v>
      </c>
      <c r="F60" s="21">
        <v>121</v>
      </c>
      <c r="G60" s="21">
        <v>1</v>
      </c>
      <c r="H60" s="21" t="s">
        <v>56</v>
      </c>
      <c r="I60" s="21">
        <v>1.4</v>
      </c>
      <c r="J60" s="21">
        <v>0.3</v>
      </c>
      <c r="K60" s="21">
        <v>121</v>
      </c>
      <c r="L60" s="21">
        <v>1</v>
      </c>
      <c r="M60" s="21" t="s">
        <v>56</v>
      </c>
      <c r="N60" s="21">
        <v>2.5</v>
      </c>
      <c r="O60" s="21" t="s">
        <v>91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1</v>
      </c>
      <c r="V60" s="21">
        <v>1</v>
      </c>
      <c r="W60" s="21">
        <v>3</v>
      </c>
      <c r="X60" s="21" t="s">
        <v>52</v>
      </c>
      <c r="Y60" s="21" t="s">
        <v>47</v>
      </c>
      <c r="Z60" s="21" t="s">
        <v>47</v>
      </c>
      <c r="AA60" s="21">
        <v>8.2000000000000003E-2</v>
      </c>
      <c r="AB60" s="21">
        <v>5.0000000000000001E-3</v>
      </c>
      <c r="AC60" s="21">
        <v>0</v>
      </c>
      <c r="AD60" s="21">
        <v>3231465488</v>
      </c>
      <c r="AE60" s="22">
        <v>44166</v>
      </c>
      <c r="AF60" s="21" t="s">
        <v>54</v>
      </c>
      <c r="AG60" s="21" t="s">
        <v>76</v>
      </c>
      <c r="AH60" s="21" t="s">
        <v>77</v>
      </c>
    </row>
    <row r="61" spans="1:34" x14ac:dyDescent="0.25">
      <c r="A61" s="21">
        <v>88212999</v>
      </c>
      <c r="B61" s="21" t="s">
        <v>45</v>
      </c>
      <c r="C61" s="21">
        <v>1</v>
      </c>
      <c r="D61" s="21">
        <v>1000</v>
      </c>
      <c r="E61" s="21">
        <v>0.64</v>
      </c>
      <c r="F61" s="21">
        <v>103</v>
      </c>
      <c r="G61" s="21">
        <v>1</v>
      </c>
      <c r="H61" s="21" t="s">
        <v>56</v>
      </c>
      <c r="I61" s="21">
        <v>1.2</v>
      </c>
      <c r="J61" s="21">
        <v>0.4</v>
      </c>
      <c r="K61" s="21">
        <v>103</v>
      </c>
      <c r="L61" s="21">
        <v>1</v>
      </c>
      <c r="M61" s="21" t="s">
        <v>56</v>
      </c>
      <c r="N61" s="21">
        <v>1.9</v>
      </c>
      <c r="O61" s="21" t="s">
        <v>90</v>
      </c>
      <c r="P61" s="21">
        <v>0</v>
      </c>
      <c r="Q61" s="21">
        <v>0</v>
      </c>
      <c r="R61" s="21">
        <v>1</v>
      </c>
      <c r="S61" s="21">
        <v>12</v>
      </c>
      <c r="T61" s="21">
        <v>1</v>
      </c>
      <c r="U61" s="21">
        <v>0</v>
      </c>
      <c r="V61" s="21">
        <v>0</v>
      </c>
      <c r="W61" s="21">
        <v>1</v>
      </c>
      <c r="X61" s="21" t="s">
        <v>52</v>
      </c>
      <c r="Y61" s="21" t="s">
        <v>75</v>
      </c>
      <c r="Z61" s="21" t="s">
        <v>75</v>
      </c>
      <c r="AA61" s="21">
        <v>0.127</v>
      </c>
      <c r="AB61" s="21">
        <v>0</v>
      </c>
      <c r="AC61" s="21">
        <v>0</v>
      </c>
      <c r="AD61" s="21">
        <v>3201980352</v>
      </c>
      <c r="AE61" s="22">
        <v>45566</v>
      </c>
      <c r="AF61" s="21" t="s">
        <v>65</v>
      </c>
      <c r="AG61" s="21" t="s">
        <v>55</v>
      </c>
      <c r="AH61" s="21" t="s">
        <v>50</v>
      </c>
    </row>
    <row r="62" spans="1:34" x14ac:dyDescent="0.25">
      <c r="A62" s="21">
        <v>88258878</v>
      </c>
      <c r="B62" s="21" t="s">
        <v>45</v>
      </c>
      <c r="C62" s="21">
        <v>4</v>
      </c>
      <c r="D62" s="21">
        <v>1000</v>
      </c>
      <c r="E62" s="21">
        <v>0.55000000000000004</v>
      </c>
      <c r="F62" s="21">
        <v>103</v>
      </c>
      <c r="G62" s="21">
        <v>1</v>
      </c>
      <c r="H62" s="21" t="s">
        <v>56</v>
      </c>
      <c r="I62" s="21">
        <v>1.5</v>
      </c>
      <c r="J62" s="21">
        <v>0.4</v>
      </c>
      <c r="K62" s="21">
        <v>103</v>
      </c>
      <c r="L62" s="21">
        <v>1</v>
      </c>
      <c r="M62" s="21" t="s">
        <v>56</v>
      </c>
      <c r="N62" s="21">
        <v>2</v>
      </c>
      <c r="O62" s="21" t="s">
        <v>97</v>
      </c>
      <c r="P62" s="21">
        <v>0</v>
      </c>
      <c r="Q62" s="21">
        <v>0</v>
      </c>
      <c r="R62" s="21">
        <v>0</v>
      </c>
      <c r="S62" s="21">
        <v>0</v>
      </c>
      <c r="T62" s="21">
        <v>1</v>
      </c>
      <c r="U62" s="21">
        <v>0</v>
      </c>
      <c r="V62" s="21">
        <v>0</v>
      </c>
      <c r="W62" s="21">
        <v>1</v>
      </c>
      <c r="X62" s="21" t="s">
        <v>46</v>
      </c>
      <c r="Y62" s="21" t="s">
        <v>47</v>
      </c>
      <c r="Z62" s="21" t="s">
        <v>47</v>
      </c>
      <c r="AA62" s="21">
        <v>0.129</v>
      </c>
      <c r="AB62" s="21">
        <v>0</v>
      </c>
      <c r="AC62" s="21">
        <v>0</v>
      </c>
      <c r="AD62" s="21">
        <v>3171311226</v>
      </c>
      <c r="AE62" s="22" t="s">
        <v>64</v>
      </c>
      <c r="AF62" s="21" t="s">
        <v>73</v>
      </c>
      <c r="AG62" s="21" t="s">
        <v>49</v>
      </c>
      <c r="AH62" s="21" t="s">
        <v>50</v>
      </c>
    </row>
    <row r="63" spans="1:34" x14ac:dyDescent="0.25">
      <c r="A63" s="21">
        <v>88273500</v>
      </c>
      <c r="B63" s="21" t="s">
        <v>45</v>
      </c>
      <c r="C63" s="21">
        <v>1</v>
      </c>
      <c r="D63" s="21">
        <v>1000</v>
      </c>
      <c r="E63" s="21">
        <v>0.77</v>
      </c>
      <c r="F63" s="21">
        <v>103</v>
      </c>
      <c r="G63" s="21">
        <v>1</v>
      </c>
      <c r="H63" s="21" t="s">
        <v>56</v>
      </c>
      <c r="I63" s="21">
        <v>1</v>
      </c>
      <c r="J63" s="21">
        <v>0.43</v>
      </c>
      <c r="K63" s="21">
        <v>103</v>
      </c>
      <c r="L63" s="21">
        <v>1</v>
      </c>
      <c r="M63" s="21" t="s">
        <v>56</v>
      </c>
      <c r="N63" s="21">
        <v>2.1</v>
      </c>
      <c r="O63" s="21" t="s">
        <v>88</v>
      </c>
      <c r="P63" s="21">
        <v>0</v>
      </c>
      <c r="Q63" s="21">
        <v>0</v>
      </c>
      <c r="R63" s="21">
        <v>1</v>
      </c>
      <c r="S63" s="21">
        <v>12</v>
      </c>
      <c r="T63" s="21">
        <v>1</v>
      </c>
      <c r="U63" s="21">
        <v>0</v>
      </c>
      <c r="V63" s="21">
        <v>0</v>
      </c>
      <c r="W63" s="21">
        <v>3</v>
      </c>
      <c r="X63" s="21" t="s">
        <v>52</v>
      </c>
      <c r="Y63" s="21" t="s">
        <v>75</v>
      </c>
      <c r="Z63" s="21" t="s">
        <v>75</v>
      </c>
      <c r="AA63" s="21">
        <v>0.108</v>
      </c>
      <c r="AB63" s="21">
        <v>0</v>
      </c>
      <c r="AC63" s="21">
        <v>0</v>
      </c>
      <c r="AD63" s="21">
        <v>5190851140</v>
      </c>
      <c r="AE63" s="22">
        <v>45566</v>
      </c>
      <c r="AF63" s="21" t="s">
        <v>65</v>
      </c>
      <c r="AG63" s="21" t="s">
        <v>55</v>
      </c>
      <c r="AH63" s="21" t="s">
        <v>50</v>
      </c>
    </row>
    <row r="64" spans="1:34" x14ac:dyDescent="0.25">
      <c r="A64" s="21">
        <v>88273509</v>
      </c>
      <c r="B64" s="21" t="s">
        <v>45</v>
      </c>
      <c r="C64" s="21">
        <v>7</v>
      </c>
      <c r="D64" s="21">
        <v>1000</v>
      </c>
      <c r="E64" s="21">
        <v>0.69</v>
      </c>
      <c r="F64" s="21">
        <v>104</v>
      </c>
      <c r="G64" s="21">
        <v>1</v>
      </c>
      <c r="H64" s="21">
        <v>134</v>
      </c>
      <c r="I64" s="21">
        <v>1</v>
      </c>
      <c r="J64" s="21">
        <v>0.38</v>
      </c>
      <c r="K64" s="21">
        <v>105</v>
      </c>
      <c r="L64" s="21">
        <v>1</v>
      </c>
      <c r="M64" s="21">
        <v>151</v>
      </c>
      <c r="N64" s="21">
        <v>1</v>
      </c>
      <c r="O64" s="21" t="s">
        <v>93</v>
      </c>
      <c r="P64" s="21">
        <v>0</v>
      </c>
      <c r="Q64" s="21">
        <v>3</v>
      </c>
      <c r="R64" s="21">
        <v>0</v>
      </c>
      <c r="S64" s="21">
        <v>0</v>
      </c>
      <c r="T64" s="21">
        <v>1</v>
      </c>
      <c r="U64" s="21">
        <v>1</v>
      </c>
      <c r="V64" s="21">
        <v>1</v>
      </c>
      <c r="W64" s="21">
        <v>3</v>
      </c>
      <c r="X64" s="21" t="s">
        <v>52</v>
      </c>
      <c r="Y64" s="21" t="s">
        <v>75</v>
      </c>
      <c r="Z64" s="21" t="s">
        <v>72</v>
      </c>
      <c r="AA64" s="21">
        <v>0.11700000000000001</v>
      </c>
      <c r="AB64" s="21">
        <v>0</v>
      </c>
      <c r="AC64" s="21">
        <v>0</v>
      </c>
      <c r="AD64" s="21">
        <v>5201740104</v>
      </c>
      <c r="AE64" s="22">
        <v>43770</v>
      </c>
      <c r="AF64" s="21" t="s">
        <v>65</v>
      </c>
      <c r="AG64" s="21" t="s">
        <v>55</v>
      </c>
      <c r="AH64" s="21" t="s">
        <v>50</v>
      </c>
    </row>
    <row r="65" spans="1:34" x14ac:dyDescent="0.25">
      <c r="A65" s="21">
        <v>88273518</v>
      </c>
      <c r="B65" s="21" t="s">
        <v>45</v>
      </c>
      <c r="C65" s="21">
        <v>1</v>
      </c>
      <c r="D65" s="21">
        <v>1000</v>
      </c>
      <c r="E65" s="21">
        <v>0.73</v>
      </c>
      <c r="F65" s="21">
        <v>103</v>
      </c>
      <c r="G65" s="21">
        <v>1</v>
      </c>
      <c r="H65" s="21" t="s">
        <v>56</v>
      </c>
      <c r="I65" s="21">
        <v>0.9</v>
      </c>
      <c r="J65" s="21">
        <v>0.44</v>
      </c>
      <c r="K65" s="21">
        <v>103</v>
      </c>
      <c r="L65" s="21">
        <v>1</v>
      </c>
      <c r="M65" s="21" t="s">
        <v>56</v>
      </c>
      <c r="N65" s="21">
        <v>1.7</v>
      </c>
      <c r="O65" s="21" t="s">
        <v>97</v>
      </c>
      <c r="P65" s="21">
        <v>0</v>
      </c>
      <c r="Q65" s="21">
        <v>0</v>
      </c>
      <c r="R65" s="21">
        <v>0</v>
      </c>
      <c r="S65" s="21">
        <v>0</v>
      </c>
      <c r="T65" s="21">
        <v>1</v>
      </c>
      <c r="U65" s="21">
        <v>0</v>
      </c>
      <c r="V65" s="21">
        <v>0</v>
      </c>
      <c r="W65" s="21">
        <v>3</v>
      </c>
      <c r="X65" s="21" t="s">
        <v>52</v>
      </c>
      <c r="Y65" s="21" t="s">
        <v>47</v>
      </c>
      <c r="Z65" s="21" t="s">
        <v>72</v>
      </c>
      <c r="AA65" s="21">
        <v>8.5000000000000006E-2</v>
      </c>
      <c r="AB65" s="21">
        <v>0</v>
      </c>
      <c r="AC65" s="21">
        <v>0</v>
      </c>
      <c r="AD65" s="21">
        <v>5191770096</v>
      </c>
      <c r="AE65" s="22">
        <v>43770</v>
      </c>
      <c r="AF65" s="21" t="s">
        <v>65</v>
      </c>
      <c r="AG65" s="21" t="s">
        <v>55</v>
      </c>
      <c r="AH65" s="21" t="s">
        <v>50</v>
      </c>
    </row>
    <row r="66" spans="1:34" x14ac:dyDescent="0.25">
      <c r="A66" s="21">
        <v>88277615</v>
      </c>
      <c r="B66" s="21" t="s">
        <v>45</v>
      </c>
      <c r="C66" s="21">
        <v>1</v>
      </c>
      <c r="D66" s="21">
        <v>1000</v>
      </c>
      <c r="E66" s="21">
        <v>0.56000000000000005</v>
      </c>
      <c r="F66" s="21">
        <v>103</v>
      </c>
      <c r="G66" s="21">
        <v>1</v>
      </c>
      <c r="H66" s="21" t="s">
        <v>51</v>
      </c>
      <c r="I66" s="21">
        <v>1.3</v>
      </c>
      <c r="J66" s="21">
        <v>0.3</v>
      </c>
      <c r="K66" s="21">
        <v>103</v>
      </c>
      <c r="L66" s="21">
        <v>1</v>
      </c>
      <c r="M66" s="21" t="s">
        <v>51</v>
      </c>
      <c r="N66" s="21">
        <v>2</v>
      </c>
      <c r="O66" s="21" t="s">
        <v>88</v>
      </c>
      <c r="P66" s="21">
        <v>0</v>
      </c>
      <c r="Q66" s="21">
        <v>0</v>
      </c>
      <c r="R66" s="21">
        <v>1</v>
      </c>
      <c r="S66" s="21">
        <v>12</v>
      </c>
      <c r="T66" s="21">
        <v>1</v>
      </c>
      <c r="U66" s="21">
        <v>0</v>
      </c>
      <c r="V66" s="21">
        <v>0</v>
      </c>
      <c r="W66" s="21">
        <v>1</v>
      </c>
      <c r="X66" s="21" t="s">
        <v>46</v>
      </c>
      <c r="Y66" s="21" t="s">
        <v>68</v>
      </c>
      <c r="Z66" s="21" t="s">
        <v>68</v>
      </c>
      <c r="AA66" s="21">
        <v>0.30599999999999999</v>
      </c>
      <c r="AB66" s="21">
        <v>0</v>
      </c>
      <c r="AC66" s="21">
        <v>0</v>
      </c>
      <c r="AD66" s="21">
        <v>3171311057</v>
      </c>
      <c r="AE66" s="22">
        <v>45536</v>
      </c>
      <c r="AF66" s="21" t="s">
        <v>73</v>
      </c>
      <c r="AG66" s="21" t="s">
        <v>49</v>
      </c>
      <c r="AH66" s="21" t="s">
        <v>50</v>
      </c>
    </row>
    <row r="67" spans="1:34" x14ac:dyDescent="0.25">
      <c r="A67" s="21">
        <v>88277751</v>
      </c>
      <c r="B67" s="21" t="s">
        <v>45</v>
      </c>
      <c r="C67" s="21">
        <v>1</v>
      </c>
      <c r="D67" s="21">
        <v>1000</v>
      </c>
      <c r="E67" s="21">
        <v>0.56000000000000005</v>
      </c>
      <c r="F67" s="21">
        <v>103</v>
      </c>
      <c r="G67" s="21">
        <v>1</v>
      </c>
      <c r="H67" s="21" t="s">
        <v>51</v>
      </c>
      <c r="I67" s="21">
        <v>1.3</v>
      </c>
      <c r="J67" s="21">
        <v>0.35</v>
      </c>
      <c r="K67" s="21">
        <v>103</v>
      </c>
      <c r="L67" s="21">
        <v>1</v>
      </c>
      <c r="M67" s="21" t="s">
        <v>56</v>
      </c>
      <c r="N67" s="21">
        <v>3.1</v>
      </c>
      <c r="O67" s="21" t="s">
        <v>61</v>
      </c>
      <c r="P67" s="21">
        <v>0</v>
      </c>
      <c r="Q67" s="21">
        <v>0</v>
      </c>
      <c r="R67" s="21">
        <v>1</v>
      </c>
      <c r="S67" s="21">
        <v>12</v>
      </c>
      <c r="T67" s="21">
        <v>1</v>
      </c>
      <c r="U67" s="21">
        <v>0</v>
      </c>
      <c r="V67" s="21">
        <v>0</v>
      </c>
      <c r="W67" s="21">
        <v>1</v>
      </c>
      <c r="X67" s="21" t="s">
        <v>46</v>
      </c>
      <c r="Y67" s="21" t="s">
        <v>58</v>
      </c>
      <c r="Z67" s="21" t="s">
        <v>58</v>
      </c>
      <c r="AA67" s="21">
        <v>3.1E-2</v>
      </c>
      <c r="AB67" s="21">
        <v>1E-3</v>
      </c>
      <c r="AC67" s="21">
        <v>0</v>
      </c>
      <c r="AD67" s="21">
        <v>1163620264</v>
      </c>
      <c r="AE67" s="22">
        <v>45536</v>
      </c>
      <c r="AF67" s="21" t="s">
        <v>48</v>
      </c>
      <c r="AG67" s="21" t="s">
        <v>49</v>
      </c>
      <c r="AH67" s="21" t="s">
        <v>50</v>
      </c>
    </row>
    <row r="68" spans="1:34" x14ac:dyDescent="0.25">
      <c r="A68" s="21">
        <v>88306110</v>
      </c>
      <c r="B68" s="21" t="s">
        <v>45</v>
      </c>
      <c r="C68" s="21">
        <v>1</v>
      </c>
      <c r="D68" s="21">
        <v>1000</v>
      </c>
      <c r="E68" s="21">
        <v>0.56999999999999995</v>
      </c>
      <c r="F68" s="21">
        <v>103</v>
      </c>
      <c r="G68" s="21">
        <v>1</v>
      </c>
      <c r="H68" s="21" t="s">
        <v>56</v>
      </c>
      <c r="I68" s="21">
        <v>2</v>
      </c>
      <c r="J68" s="21">
        <v>0.43</v>
      </c>
      <c r="K68" s="21">
        <v>103</v>
      </c>
      <c r="L68" s="21">
        <v>1</v>
      </c>
      <c r="M68" s="21" t="s">
        <v>56</v>
      </c>
      <c r="N68" s="21">
        <v>2.1</v>
      </c>
      <c r="O68" s="21" t="s">
        <v>90</v>
      </c>
      <c r="P68" s="21">
        <v>0</v>
      </c>
      <c r="Q68" s="21">
        <v>0</v>
      </c>
      <c r="R68" s="21">
        <v>1</v>
      </c>
      <c r="S68" s="21">
        <v>12</v>
      </c>
      <c r="T68" s="21">
        <v>1</v>
      </c>
      <c r="U68" s="21">
        <v>0</v>
      </c>
      <c r="V68" s="21">
        <v>0</v>
      </c>
      <c r="W68" s="21">
        <v>1</v>
      </c>
      <c r="X68" s="21" t="s">
        <v>52</v>
      </c>
      <c r="Y68" s="21" t="s">
        <v>58</v>
      </c>
      <c r="Z68" s="21" t="s">
        <v>58</v>
      </c>
      <c r="AA68" s="21">
        <v>9.0999999999999998E-2</v>
      </c>
      <c r="AB68" s="21">
        <v>0</v>
      </c>
      <c r="AC68" s="21">
        <v>0</v>
      </c>
      <c r="AD68" s="21">
        <v>5201710078</v>
      </c>
      <c r="AE68" s="22">
        <v>45566</v>
      </c>
      <c r="AF68" s="21" t="s">
        <v>65</v>
      </c>
      <c r="AG68" s="21" t="s">
        <v>55</v>
      </c>
      <c r="AH68" s="21" t="s">
        <v>50</v>
      </c>
    </row>
    <row r="69" spans="1:34" x14ac:dyDescent="0.25">
      <c r="A69" s="21">
        <v>88376075</v>
      </c>
      <c r="B69" s="21" t="s">
        <v>45</v>
      </c>
      <c r="C69" s="21">
        <v>1</v>
      </c>
      <c r="D69" s="21">
        <v>1000</v>
      </c>
      <c r="E69" s="21">
        <v>0.4</v>
      </c>
      <c r="F69" s="21">
        <v>103</v>
      </c>
      <c r="G69" s="21">
        <v>1</v>
      </c>
      <c r="H69" s="21" t="s">
        <v>56</v>
      </c>
      <c r="I69" s="21">
        <v>1</v>
      </c>
      <c r="J69" s="21">
        <v>0.28000000000000003</v>
      </c>
      <c r="K69" s="21">
        <v>103</v>
      </c>
      <c r="L69" s="21">
        <v>0.6</v>
      </c>
      <c r="M69" s="21" t="s">
        <v>56</v>
      </c>
      <c r="N69" s="21">
        <v>1.6</v>
      </c>
      <c r="O69" s="21" t="s">
        <v>57</v>
      </c>
      <c r="P69" s="21">
        <v>0</v>
      </c>
      <c r="Q69" s="21">
        <v>0</v>
      </c>
      <c r="R69" s="21">
        <v>1</v>
      </c>
      <c r="S69" s="21">
        <v>12</v>
      </c>
      <c r="T69" s="21">
        <v>1</v>
      </c>
      <c r="U69" s="21">
        <v>0</v>
      </c>
      <c r="V69" s="21">
        <v>0</v>
      </c>
      <c r="W69" s="21">
        <v>3</v>
      </c>
      <c r="X69" s="21" t="s">
        <v>52</v>
      </c>
      <c r="Y69" s="21" t="s">
        <v>47</v>
      </c>
      <c r="Z69" s="21" t="s">
        <v>47</v>
      </c>
      <c r="AA69" s="21">
        <v>9.2999999999999999E-2</v>
      </c>
      <c r="AB69" s="21">
        <v>9.4E-2</v>
      </c>
      <c r="AC69" s="21">
        <v>0</v>
      </c>
      <c r="AD69" s="21">
        <v>3211667004</v>
      </c>
      <c r="AE69" s="22">
        <v>45536</v>
      </c>
      <c r="AF69" s="21" t="s">
        <v>54</v>
      </c>
      <c r="AG69" s="21" t="s">
        <v>55</v>
      </c>
      <c r="AH69" s="21" t="s">
        <v>50</v>
      </c>
    </row>
    <row r="70" spans="1:34" x14ac:dyDescent="0.25">
      <c r="A70" s="21">
        <v>88383415</v>
      </c>
      <c r="B70" s="21" t="s">
        <v>45</v>
      </c>
      <c r="C70" s="21">
        <v>1</v>
      </c>
      <c r="D70" s="21">
        <v>1000</v>
      </c>
      <c r="E70" s="21">
        <v>0.68</v>
      </c>
      <c r="F70" s="21" t="s">
        <v>60</v>
      </c>
      <c r="G70" s="21">
        <v>0.7</v>
      </c>
      <c r="H70" s="21" t="s">
        <v>51</v>
      </c>
      <c r="I70" s="21">
        <v>1.4</v>
      </c>
      <c r="J70" s="21">
        <v>0.44</v>
      </c>
      <c r="K70" s="21" t="s">
        <v>60</v>
      </c>
      <c r="L70" s="21">
        <v>0.6</v>
      </c>
      <c r="M70" s="21" t="s">
        <v>51</v>
      </c>
      <c r="N70" s="21">
        <v>2</v>
      </c>
      <c r="O70" s="21" t="s">
        <v>86</v>
      </c>
      <c r="P70" s="21">
        <v>0</v>
      </c>
      <c r="Q70" s="21">
        <v>0</v>
      </c>
      <c r="R70" s="21">
        <v>1</v>
      </c>
      <c r="S70" s="21">
        <v>12</v>
      </c>
      <c r="T70" s="21">
        <v>0</v>
      </c>
      <c r="U70" s="21">
        <v>0</v>
      </c>
      <c r="V70" s="21">
        <v>0</v>
      </c>
      <c r="W70" s="21">
        <v>3</v>
      </c>
      <c r="X70" s="21" t="s">
        <v>52</v>
      </c>
      <c r="Y70" s="21" t="s">
        <v>53</v>
      </c>
      <c r="Z70" s="21" t="s">
        <v>53</v>
      </c>
      <c r="AA70" s="21">
        <v>0.25700000000000001</v>
      </c>
      <c r="AB70" s="21">
        <v>0.04</v>
      </c>
      <c r="AC70" s="21">
        <v>0</v>
      </c>
      <c r="AD70" s="21">
        <v>3231315389</v>
      </c>
      <c r="AE70" s="22">
        <v>45536</v>
      </c>
      <c r="AF70" s="21" t="s">
        <v>54</v>
      </c>
      <c r="AG70" s="21" t="s">
        <v>76</v>
      </c>
      <c r="AH70" s="21" t="s">
        <v>77</v>
      </c>
    </row>
    <row r="71" spans="1:34" x14ac:dyDescent="0.25">
      <c r="A71" s="21">
        <v>92322050</v>
      </c>
      <c r="B71" s="21" t="s">
        <v>78</v>
      </c>
      <c r="C71" s="21">
        <v>5</v>
      </c>
      <c r="D71" s="21">
        <v>1000</v>
      </c>
      <c r="E71" s="21">
        <v>0.11</v>
      </c>
      <c r="F71" s="21">
        <v>136</v>
      </c>
      <c r="G71" s="21">
        <v>1</v>
      </c>
      <c r="H71" s="21">
        <v>136</v>
      </c>
      <c r="I71" s="21">
        <v>1</v>
      </c>
      <c r="J71" s="21" t="s">
        <v>72</v>
      </c>
      <c r="K71" s="21">
        <v>104</v>
      </c>
      <c r="L71" s="21">
        <v>1</v>
      </c>
      <c r="M71" s="21">
        <v>104</v>
      </c>
      <c r="N71" s="21">
        <v>1</v>
      </c>
      <c r="O71" s="21" t="s">
        <v>83</v>
      </c>
      <c r="P71" s="21"/>
      <c r="Q71" s="21">
        <v>0</v>
      </c>
      <c r="R71" s="21">
        <v>0</v>
      </c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>
        <v>1</v>
      </c>
      <c r="AD71" s="21"/>
      <c r="AE71" s="22" t="s">
        <v>64</v>
      </c>
      <c r="AF71" s="21" t="s">
        <v>79</v>
      </c>
      <c r="AG71" s="21" t="s">
        <v>80</v>
      </c>
      <c r="AH71" s="21" t="s">
        <v>81</v>
      </c>
    </row>
    <row r="72" spans="1:34" x14ac:dyDescent="0.25">
      <c r="A72" s="21">
        <v>92360176</v>
      </c>
      <c r="B72" s="21" t="s">
        <v>45</v>
      </c>
      <c r="C72" s="21">
        <v>1</v>
      </c>
      <c r="D72" s="21">
        <v>400</v>
      </c>
      <c r="E72" s="21">
        <v>1</v>
      </c>
      <c r="F72" s="21" t="s">
        <v>60</v>
      </c>
      <c r="G72" s="21">
        <v>1.1000000000000001</v>
      </c>
      <c r="H72" s="21" t="s">
        <v>60</v>
      </c>
      <c r="I72" s="21">
        <v>1.1000000000000001</v>
      </c>
      <c r="J72" s="21">
        <v>0.75</v>
      </c>
      <c r="K72" s="21" t="s">
        <v>60</v>
      </c>
      <c r="L72" s="21">
        <v>0.9</v>
      </c>
      <c r="M72" s="21" t="s">
        <v>60</v>
      </c>
      <c r="N72" s="21">
        <v>0.9</v>
      </c>
      <c r="O72" s="21" t="s">
        <v>82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3</v>
      </c>
      <c r="X72" s="21" t="s">
        <v>52</v>
      </c>
      <c r="Y72" s="21" t="s">
        <v>63</v>
      </c>
      <c r="Z72" s="21" t="s">
        <v>63</v>
      </c>
      <c r="AA72" s="21">
        <v>0.121</v>
      </c>
      <c r="AB72" s="21">
        <v>0.125</v>
      </c>
      <c r="AC72" s="21">
        <v>0</v>
      </c>
      <c r="AD72" s="21">
        <v>3231395073</v>
      </c>
      <c r="AE72" s="22" t="s">
        <v>69</v>
      </c>
      <c r="AF72" s="21" t="s">
        <v>54</v>
      </c>
      <c r="AG72" s="21" t="s">
        <v>76</v>
      </c>
      <c r="AH72" s="21" t="s">
        <v>77</v>
      </c>
    </row>
    <row r="73" spans="1:34" x14ac:dyDescent="0.25">
      <c r="A73" s="21">
        <v>92364207</v>
      </c>
      <c r="B73" s="21" t="s">
        <v>45</v>
      </c>
      <c r="C73" s="21">
        <v>4</v>
      </c>
      <c r="D73" s="21">
        <v>1000</v>
      </c>
      <c r="E73" s="21">
        <v>0.4</v>
      </c>
      <c r="F73" s="21">
        <v>103</v>
      </c>
      <c r="G73" s="21">
        <v>1</v>
      </c>
      <c r="H73" s="21" t="s">
        <v>56</v>
      </c>
      <c r="I73" s="21">
        <v>1</v>
      </c>
      <c r="J73" s="21">
        <v>0.28000000000000003</v>
      </c>
      <c r="K73" s="21">
        <v>103</v>
      </c>
      <c r="L73" s="21">
        <v>1</v>
      </c>
      <c r="M73" s="21" t="s">
        <v>56</v>
      </c>
      <c r="N73" s="21">
        <v>1.6</v>
      </c>
      <c r="O73" s="21" t="s">
        <v>82</v>
      </c>
      <c r="P73" s="21">
        <v>0</v>
      </c>
      <c r="Q73" s="21">
        <v>0</v>
      </c>
      <c r="R73" s="21">
        <v>0</v>
      </c>
      <c r="S73" s="21">
        <v>0</v>
      </c>
      <c r="T73" s="21">
        <v>1</v>
      </c>
      <c r="U73" s="21">
        <v>0</v>
      </c>
      <c r="V73" s="21">
        <v>0</v>
      </c>
      <c r="W73" s="21">
        <v>1</v>
      </c>
      <c r="X73" s="21" t="s">
        <v>52</v>
      </c>
      <c r="Y73" s="21" t="s">
        <v>68</v>
      </c>
      <c r="Z73" s="21" t="s">
        <v>68</v>
      </c>
      <c r="AA73" s="21">
        <v>0.70399999999999996</v>
      </c>
      <c r="AB73" s="21">
        <v>0.04</v>
      </c>
      <c r="AC73" s="21">
        <v>0</v>
      </c>
      <c r="AD73" s="21">
        <v>7233427009</v>
      </c>
      <c r="AE73" s="22">
        <v>44958</v>
      </c>
      <c r="AF73" s="21" t="s">
        <v>54</v>
      </c>
      <c r="AG73" s="21" t="s">
        <v>76</v>
      </c>
      <c r="AH73" s="21" t="s">
        <v>77</v>
      </c>
    </row>
  </sheetData>
  <conditionalFormatting sqref="A2:A73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  <headerFooter>
    <oddHeader>&amp;C&amp;"Aptos"&amp;11&amp;K000000 INTERNAL&amp;1#_x000D_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Reclosers</vt:lpstr>
    </vt:vector>
  </TitlesOfParts>
  <Company>Duke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Spickelmier, Matthew</dc:creator>
  <cp:lastModifiedBy>Spickelmier, Matthew</cp:lastModifiedBy>
  <dcterms:created xsi:type="dcterms:W3CDTF">2026-03-10T07:01:40Z</dcterms:created>
  <dcterms:modified xsi:type="dcterms:W3CDTF">2026-03-10T16:49:05Z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9be057-b751-42b3-9c6c-4039cb60262e_Enabled">
    <vt:lpwstr>true</vt:lpwstr>
  </property>
  <property fmtid="{D5CDD505-2E9C-101B-9397-08002B2CF9AE}" pid="3" name="MSIP_Label_a89be057-b751-42b3-9c6c-4039cb60262e_SetDate">
    <vt:lpwstr>2026-03-10T07:01:40Z</vt:lpwstr>
  </property>
  <property fmtid="{D5CDD505-2E9C-101B-9397-08002B2CF9AE}" pid="4" name="MSIP_Label_a89be057-b751-42b3-9c6c-4039cb60262e_Method">
    <vt:lpwstr>Standard</vt:lpwstr>
  </property>
  <property fmtid="{D5CDD505-2E9C-101B-9397-08002B2CF9AE}" pid="5" name="MSIP_Label_a89be057-b751-42b3-9c6c-4039cb60262e_Name">
    <vt:lpwstr>Internal</vt:lpwstr>
  </property>
  <property fmtid="{D5CDD505-2E9C-101B-9397-08002B2CF9AE}" pid="6" name="MSIP_Label_a89be057-b751-42b3-9c6c-4039cb60262e_SiteId">
    <vt:lpwstr>2ede383a-7e1f-4357-a846-85886b2c0c4d</vt:lpwstr>
  </property>
  <property fmtid="{D5CDD505-2E9C-101B-9397-08002B2CF9AE}" pid="7" name="MSIP_Label_a89be057-b751-42b3-9c6c-4039cb60262e_ActionId">
    <vt:lpwstr>ed5818e4-ed1b-40fb-8432-1cd803db5d2b</vt:lpwstr>
  </property>
  <property fmtid="{D5CDD505-2E9C-101B-9397-08002B2CF9AE}" pid="8" name="MSIP_Label_a89be057-b751-42b3-9c6c-4039cb60262e_ContentBits">
    <vt:lpwstr>1</vt:lpwstr>
  </property>
  <property fmtid="{D5CDD505-2E9C-101B-9397-08002B2CF9AE}" pid="9" name="MSIP_Label_a89be057-b751-42b3-9c6c-4039cb60262e_Tag">
    <vt:lpwstr>10, 3, 0, 1</vt:lpwstr>
  </property>
</Properties>
</file>